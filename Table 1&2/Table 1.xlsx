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nomics\International macroeconomics\Term Paper\Table 1 &amp; 2\"/>
    </mc:Choice>
  </mc:AlternateContent>
  <xr:revisionPtr revIDLastSave="0" documentId="8_{2CB3EE74-17D3-4504-9716-6B9FAF7928C7}" xr6:coauthVersionLast="47" xr6:coauthVersionMax="47" xr10:uidLastSave="{00000000-0000-0000-0000-000000000000}"/>
  <bookViews>
    <workbookView xWindow="28680" yWindow="-1290" windowWidth="29040" windowHeight="15840" xr2:uid="{D70BBE0F-D6BB-426C-8369-A4C26B2AC29B}"/>
  </bookViews>
  <sheets>
    <sheet name="Table 1" sheetId="7" r:id="rId1"/>
    <sheet name="Portfolio equity assets " sheetId="1" r:id="rId2"/>
    <sheet name="Portfolio debt assets " sheetId="2" r:id="rId3"/>
    <sheet name="FDI assets" sheetId="3" r:id="rId4"/>
    <sheet name="Portfolio equity liabilities " sheetId="4" r:id="rId5"/>
    <sheet name="Portfolio debt liabilities " sheetId="5" r:id="rId6"/>
    <sheet name="FDI liabilities" sheetId="6" r:id="rId7"/>
    <sheet name="GD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7" l="1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3" i="7"/>
  <c r="S28" i="7" s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3" i="7"/>
  <c r="Q28" i="7" s="1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3" i="7"/>
  <c r="M28" i="7" s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3" i="7"/>
  <c r="J28" i="7" s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3" i="7"/>
  <c r="H28" i="7" s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3" i="7"/>
  <c r="E28" i="7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8" i="7"/>
  <c r="C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3" i="7"/>
  <c r="I28" i="7"/>
  <c r="F28" i="7" l="1"/>
  <c r="G28" i="7"/>
  <c r="K28" i="7"/>
  <c r="O28" i="7"/>
  <c r="R28" i="7"/>
  <c r="D28" i="7"/>
  <c r="N28" i="7"/>
  <c r="P28" i="7"/>
  <c r="L28" i="7"/>
  <c r="B28" i="7"/>
</calcChain>
</file>

<file path=xl/sharedStrings.xml><?xml version="1.0" encoding="utf-8"?>
<sst xmlns="http://schemas.openxmlformats.org/spreadsheetml/2006/main" count="222" uniqueCount="39">
  <si>
    <t>Country</t>
  </si>
  <si>
    <t>Year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</si>
  <si>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</si>
  <si>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</si>
  <si>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</si>
  <si>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</si>
  <si>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</si>
  <si>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</si>
  <si>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</si>
  <si>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</si>
  <si>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</si>
  <si>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</si>
  <si>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</si>
  <si>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</si>
  <si>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Japan</t>
  </si>
  <si>
    <t>Mexico</t>
  </si>
  <si>
    <t>Netherlands</t>
  </si>
  <si>
    <t>New Zealand</t>
  </si>
  <si>
    <t>Norway</t>
  </si>
  <si>
    <t>Portugal</t>
  </si>
  <si>
    <t>Spain</t>
  </si>
  <si>
    <t>Sweden</t>
  </si>
  <si>
    <t>Switzerland</t>
  </si>
  <si>
    <t>Turkey</t>
  </si>
  <si>
    <t>United Kingdom</t>
  </si>
  <si>
    <t>United States</t>
  </si>
  <si>
    <t>Portfolio equity assets  ratio</t>
  </si>
  <si>
    <t xml:space="preserve">Portfolio equity assets  </t>
  </si>
  <si>
    <t xml:space="preserve">Portfolio debt assets  </t>
  </si>
  <si>
    <t xml:space="preserve">Portfolio FDI assets  </t>
  </si>
  <si>
    <t xml:space="preserve">Portfolio equity liabilities </t>
  </si>
  <si>
    <t>Portfolio debt liabilities</t>
  </si>
  <si>
    <t>GDP</t>
  </si>
  <si>
    <t>Debt assets ratio</t>
  </si>
  <si>
    <t>FDI assets ratio</t>
  </si>
  <si>
    <t>Portfolio equity liabilities ratio</t>
  </si>
  <si>
    <t>Debt liabilities ratio</t>
  </si>
  <si>
    <t>FDI liabilities ratio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</si>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</sst>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5F2D-BC1D-494E-98E6-EA4249B3E7D1}">
  <dimension ref="A1:S720"/>
  <sheetViews>
    <sheetView tabSelected="1" workbookViewId="0">
      <selection activeCell="T34" sqref="T34"/>
    </sheetView>
  </sheetViews>
  <sheetFormatPr defaultRowHeight="14.4" x14ac:dyDescent="0.3"/>
  <cols>
    <col min="1" max="1" width="14.6640625" style="7" bestFit="1" customWidth="1"/>
    <col min="2" max="2" width="10.33203125" style="7" customWidth="1"/>
    <col min="3" max="3" width="8.6640625" style="7" customWidth="1"/>
    <col min="4" max="4" width="9.44140625" style="7" customWidth="1"/>
    <col min="5" max="16384" width="8.88671875" style="7"/>
  </cols>
  <sheetData>
    <row r="1" spans="1:19" x14ac:dyDescent="0.3">
      <c r="A1" s="1" t="s">
        <v>0</v>
      </c>
      <c r="B1" s="4" t="s">
        <v>26</v>
      </c>
      <c r="C1" s="4"/>
      <c r="D1" s="4"/>
      <c r="E1" s="4" t="s">
        <v>33</v>
      </c>
      <c r="F1" s="4"/>
      <c r="G1" s="4"/>
      <c r="H1" s="4" t="s">
        <v>34</v>
      </c>
      <c r="I1" s="4"/>
      <c r="J1" s="4"/>
      <c r="K1" s="4" t="s">
        <v>35</v>
      </c>
      <c r="L1" s="4"/>
      <c r="M1" s="4"/>
      <c r="N1" s="4" t="s">
        <v>36</v>
      </c>
      <c r="O1" s="4"/>
      <c r="P1" s="4"/>
      <c r="Q1" s="4" t="s">
        <v>37</v>
      </c>
      <c r="R1" s="4"/>
      <c r="S1" s="4"/>
    </row>
    <row r="2" spans="1:19" x14ac:dyDescent="0.3">
      <c r="A2" s="2" t="s">
        <v>1</v>
      </c>
      <c r="B2" s="2">
        <v>1993</v>
      </c>
      <c r="C2" s="2">
        <v>2003</v>
      </c>
      <c r="D2" s="2">
        <v>2022</v>
      </c>
      <c r="E2" s="2">
        <v>1993</v>
      </c>
      <c r="F2" s="2">
        <v>2003</v>
      </c>
      <c r="G2" s="2">
        <v>2022</v>
      </c>
      <c r="H2" s="2">
        <v>1993</v>
      </c>
      <c r="I2" s="2">
        <v>2003</v>
      </c>
      <c r="J2" s="2">
        <v>2022</v>
      </c>
      <c r="K2" s="2">
        <v>1993</v>
      </c>
      <c r="L2" s="2">
        <v>2003</v>
      </c>
      <c r="M2" s="2">
        <v>2022</v>
      </c>
      <c r="N2" s="2">
        <v>1993</v>
      </c>
      <c r="O2" s="2">
        <v>2003</v>
      </c>
      <c r="P2" s="2">
        <v>2022</v>
      </c>
      <c r="Q2" s="2">
        <v>1993</v>
      </c>
      <c r="R2" s="2">
        <v>2003</v>
      </c>
      <c r="S2" s="2">
        <v>2022</v>
      </c>
    </row>
    <row r="3" spans="1:19" x14ac:dyDescent="0.3">
      <c r="A3" s="3" t="s">
        <v>2</v>
      </c>
      <c r="B3" s="5">
        <f>'Portfolio equity assets '!B3/GDP!B3</f>
        <v>6.9586704471609112E-2</v>
      </c>
      <c r="C3" s="6">
        <f>'Portfolio equity assets '!L3/GDP!L3</f>
        <v>0.17177946992939841</v>
      </c>
      <c r="D3" s="6">
        <f>'Portfolio equity assets '!AE3/GDP!AE3</f>
        <v>0.42617238425330473</v>
      </c>
      <c r="E3" s="6">
        <f>'Portfolio debt assets '!B3/GDP!B3</f>
        <v>8.4507522946457733E-2</v>
      </c>
      <c r="F3" s="6">
        <f>'Portfolio debt assets '!L3/GDP!L3</f>
        <v>0.18468607917791061</v>
      </c>
      <c r="G3" s="6">
        <f>'Portfolio debt assets '!AE3/GDP!AE3</f>
        <v>0.36992395982741283</v>
      </c>
      <c r="H3" s="5">
        <f>'FDI assets'!B3/GDP!B3</f>
        <v>0.14685929416405094</v>
      </c>
      <c r="I3" s="5">
        <f>'FDI assets'!L3/GDP!L3</f>
        <v>0.33998124052785272</v>
      </c>
      <c r="J3" s="5">
        <f>'FDI assets'!AE3/GDP!AE3</f>
        <v>0.41204262977855677</v>
      </c>
      <c r="K3" s="5">
        <f>'Portfolio equity liabilities '!B3/GDP!B3</f>
        <v>0.11619237133333582</v>
      </c>
      <c r="L3" s="5">
        <f>'Portfolio equity liabilities '!L3/GDP!L3</f>
        <v>0.25686245518057149</v>
      </c>
      <c r="M3" s="5">
        <f>'Portfolio equity liabilities '!AE3/GDP!AE3</f>
        <v>0.33186299817803194</v>
      </c>
      <c r="N3" s="5">
        <f>'Portfolio debt liabilities '!B3/GDP!B3</f>
        <v>0.47581683032623573</v>
      </c>
      <c r="O3" s="5">
        <f>'Portfolio debt liabilities '!L3/GDP!L3</f>
        <v>0.69543251368336234</v>
      </c>
      <c r="P3" s="5">
        <f>'Portfolio debt liabilities '!AE3/GDP!AE3</f>
        <v>0.79378894113029597</v>
      </c>
      <c r="Q3" s="5">
        <f>'FDI liabilities'!B3/GDP!B3</f>
        <v>0.28335326035298292</v>
      </c>
      <c r="R3" s="5">
        <f>'FDI liabilities'!L3/GDP!L3</f>
        <v>0.39535448933575018</v>
      </c>
      <c r="S3" s="5">
        <f>'FDI liabilities'!AE3/GDP!AE3</f>
        <v>0.48382471128669108</v>
      </c>
    </row>
    <row r="4" spans="1:19" x14ac:dyDescent="0.3">
      <c r="A4" s="3" t="s">
        <v>3</v>
      </c>
      <c r="B4" s="5">
        <f>'Portfolio equity assets '!B4/GDP!B4</f>
        <v>1.9551653997757473E-2</v>
      </c>
      <c r="C4" s="6">
        <f>'Portfolio equity assets '!L4/GDP!L4</f>
        <v>0.16837812853442069</v>
      </c>
      <c r="D4" s="6">
        <f>'Portfolio equity assets '!AE4/GDP!AE4</f>
        <v>0.38441221758459199</v>
      </c>
      <c r="E4" s="6">
        <f>'Portfolio debt assets '!B4/GDP!B4</f>
        <v>0.46478434116350387</v>
      </c>
      <c r="F4" s="6">
        <f>'Portfolio debt assets '!L4/GDP!L4</f>
        <v>1.2480965844284886</v>
      </c>
      <c r="G4" s="6">
        <f>'Portfolio debt assets '!AE4/GDP!AE4</f>
        <v>1.0878560966910531</v>
      </c>
      <c r="H4" s="5">
        <f>'FDI assets'!B4/GDP!B4</f>
        <v>4.2607033601307701E-2</v>
      </c>
      <c r="I4" s="5">
        <f>'FDI assets'!L4/GDP!L4</f>
        <v>0.22232387493747532</v>
      </c>
      <c r="J4" s="5">
        <f>'FDI assets'!AE4/GDP!AE4</f>
        <v>0.69612074959768677</v>
      </c>
      <c r="K4" s="5">
        <f>'Portfolio equity liabilities '!B4/GDP!B4</f>
        <v>1.8859560050934199E-2</v>
      </c>
      <c r="L4" s="5">
        <f>'Portfolio equity liabilities '!L4/GDP!L4</f>
        <v>0.10095244746757635</v>
      </c>
      <c r="M4" s="5">
        <f>'Portfolio equity liabilities '!AE4/GDP!AE4</f>
        <v>0.14328561098538084</v>
      </c>
      <c r="N4" s="5">
        <f>'Portfolio debt liabilities '!B4/GDP!B4</f>
        <v>0.62430611160421601</v>
      </c>
      <c r="O4" s="5">
        <f>'Portfolio debt liabilities '!L4/GDP!L4</f>
        <v>1.526815262785135</v>
      </c>
      <c r="P4" s="5">
        <f>'Portfolio debt liabilities '!AE4/GDP!AE4</f>
        <v>1.3339526030430529</v>
      </c>
      <c r="Q4" s="5">
        <f>'FDI liabilities'!B4/GDP!B4</f>
        <v>5.9866126400212862E-2</v>
      </c>
      <c r="R4" s="5">
        <f>'FDI liabilities'!L4/GDP!L4</f>
        <v>0.21559119040868777</v>
      </c>
      <c r="S4" s="5">
        <f>'FDI liabilities'!AE4/GDP!AE4</f>
        <v>0.57956433487748027</v>
      </c>
    </row>
    <row r="5" spans="1:19" x14ac:dyDescent="0.3">
      <c r="A5" s="3" t="s">
        <v>4</v>
      </c>
      <c r="B5" s="5">
        <f>'Portfolio equity assets '!B5/GDP!B5</f>
        <v>0.27120814393337445</v>
      </c>
      <c r="C5" s="6">
        <f>'Portfolio equity assets '!L5/GDP!L5</f>
        <v>0.46113646140719339</v>
      </c>
      <c r="D5" s="6">
        <f>'Portfolio equity assets '!AE5/GDP!AE5</f>
        <v>0.8203160241011711</v>
      </c>
      <c r="E5" s="6">
        <f>'Portfolio debt assets '!B5/GDP!B5</f>
        <v>1.4841745393029955</v>
      </c>
      <c r="F5" s="6">
        <f>'Portfolio debt assets '!L5/GDP!L5</f>
        <v>2.4156176016499966</v>
      </c>
      <c r="G5" s="6">
        <f>'Portfolio debt assets '!AE5/GDP!AE5</f>
        <v>1.5273666172186255</v>
      </c>
      <c r="H5" s="5">
        <f>'FDI assets'!B5/GDP!B5</f>
        <v>0.28640187748706514</v>
      </c>
      <c r="I5" s="5">
        <f>'FDI assets'!L5/GDP!L5</f>
        <v>0.9872133853228402</v>
      </c>
      <c r="J5" s="5">
        <f>'FDI assets'!AE5/GDP!AE5</f>
        <v>1.8459730721739924</v>
      </c>
      <c r="K5" s="5">
        <f>'Portfolio equity liabilities '!B5/GDP!B5</f>
        <v>3.7731104991664599E-2</v>
      </c>
      <c r="L5" s="5">
        <f>'Portfolio equity liabilities '!L5/GDP!L5</f>
        <v>8.7686106737302788E-2</v>
      </c>
      <c r="M5" s="5">
        <f>'Portfolio equity liabilities '!AE5/GDP!AE5</f>
        <v>0.34444722662112154</v>
      </c>
      <c r="N5" s="5">
        <f>'Portfolio debt liabilities '!B5/GDP!B5</f>
        <v>1.5353353866510551</v>
      </c>
      <c r="O5" s="5">
        <f>'Portfolio debt liabilities '!L5/GDP!L5</f>
        <v>2.3013886039946527</v>
      </c>
      <c r="P5" s="5">
        <f>'Portfolio debt liabilities '!AE5/GDP!AE5</f>
        <v>1.7677711205035758</v>
      </c>
      <c r="Q5" s="5">
        <f>'FDI liabilities'!B5/GDP!B5</f>
        <v>0.43112218958596643</v>
      </c>
      <c r="R5" s="5">
        <f>'FDI liabilities'!L5/GDP!L5</f>
        <v>1.1230597298668525</v>
      </c>
      <c r="S5" s="5">
        <f>'FDI liabilities'!AE5/GDP!AE5</f>
        <v>1.567530422633963</v>
      </c>
    </row>
    <row r="6" spans="1:19" x14ac:dyDescent="0.3">
      <c r="A6" s="3" t="s">
        <v>5</v>
      </c>
      <c r="B6" s="5">
        <f>'Portfolio equity assets '!B6/GDP!B6</f>
        <v>0.12034960462384289</v>
      </c>
      <c r="C6" s="6">
        <f>'Portfolio equity assets '!L6/GDP!L6</f>
        <v>0.30807306676623608</v>
      </c>
      <c r="D6" s="6">
        <f>'Portfolio equity assets '!AE6/GDP!AE6</f>
        <v>0.73556094680488548</v>
      </c>
      <c r="E6" s="6">
        <f>'Portfolio debt assets '!B6/GDP!B6</f>
        <v>0.1729386168308614</v>
      </c>
      <c r="F6" s="6">
        <f>'Portfolio debt assets '!L6/GDP!L6</f>
        <v>0.21632306162951731</v>
      </c>
      <c r="G6" s="6">
        <f>'Portfolio debt assets '!AE6/GDP!AE6</f>
        <v>0.75753626966990173</v>
      </c>
      <c r="H6" s="5">
        <f>'FDI assets'!B6/GDP!B6</f>
        <v>0.26182693864125212</v>
      </c>
      <c r="I6" s="5">
        <f>'FDI assets'!L6/GDP!L6</f>
        <v>0.58902383093705324</v>
      </c>
      <c r="J6" s="5">
        <f>'FDI assets'!AE6/GDP!AE6</f>
        <v>1.0243773383104382</v>
      </c>
      <c r="K6" s="5">
        <f>'Portfolio equity liabilities '!B6/GDP!B6</f>
        <v>7.0814620056433714E-2</v>
      </c>
      <c r="L6" s="5">
        <f>'Portfolio equity liabilities '!L6/GDP!L6</f>
        <v>0.19240936537917327</v>
      </c>
      <c r="M6" s="5">
        <f>'Portfolio equity liabilities '!AE6/GDP!AE6</f>
        <v>0.32872656789987836</v>
      </c>
      <c r="N6" s="5">
        <f>'Portfolio debt liabilities '!B6/GDP!B6</f>
        <v>0.66824860000166442</v>
      </c>
      <c r="O6" s="5">
        <f>'Portfolio debt liabilities '!L6/GDP!L6</f>
        <v>0.61677969663590881</v>
      </c>
      <c r="P6" s="5">
        <f>'Portfolio debt liabilities '!AE6/GDP!AE6</f>
        <v>1.2053797273735032</v>
      </c>
      <c r="Q6" s="5">
        <f>'FDI liabilities'!B6/GDP!B6</f>
        <v>0.32507047876185963</v>
      </c>
      <c r="R6" s="5">
        <f>'FDI liabilities'!L6/GDP!L6</f>
        <v>0.51937748306391351</v>
      </c>
      <c r="S6" s="5">
        <f>'FDI liabilities'!AE6/GDP!AE6</f>
        <v>0.72671390471768371</v>
      </c>
    </row>
    <row r="7" spans="1:19" x14ac:dyDescent="0.3">
      <c r="A7" s="3" t="s">
        <v>6</v>
      </c>
      <c r="B7" s="5">
        <f>'Portfolio equity assets '!B7/GDP!B7</f>
        <v>5.5682264931808369E-2</v>
      </c>
      <c r="C7" s="6">
        <f>'Portfolio equity assets '!L7/GDP!L7</f>
        <v>0.23896628600057451</v>
      </c>
      <c r="D7" s="6">
        <f>'Portfolio equity assets '!AE7/GDP!AE7</f>
        <v>0.98897004923144405</v>
      </c>
      <c r="E7" s="6">
        <f>'Portfolio debt assets '!B7/GDP!B7</f>
        <v>0.53826189434081428</v>
      </c>
      <c r="F7" s="6">
        <f>'Portfolio debt assets '!L7/GDP!L7</f>
        <v>0.81033249608935931</v>
      </c>
      <c r="G7" s="6">
        <f>'Portfolio debt assets '!AE7/GDP!AE7</f>
        <v>1.0091136191866799</v>
      </c>
      <c r="H7" s="5">
        <f>'FDI assets'!B7/GDP!B7</f>
        <v>0.13714335622093507</v>
      </c>
      <c r="I7" s="5">
        <f>'FDI assets'!L7/GDP!L7</f>
        <v>0.4704122856268495</v>
      </c>
      <c r="J7" s="5">
        <f>'FDI assets'!AE7/GDP!AE7</f>
        <v>0.91159343957008165</v>
      </c>
      <c r="K7" s="5">
        <f>'Portfolio equity liabilities '!B7/GDP!B7</f>
        <v>2.2685367194440448E-2</v>
      </c>
      <c r="L7" s="5">
        <f>'Portfolio equity liabilities '!L7/GDP!L7</f>
        <v>0.14332086225012447</v>
      </c>
      <c r="M7" s="5">
        <f>'Portfolio equity liabilities '!AE7/GDP!AE7</f>
        <v>0.93114310030748515</v>
      </c>
      <c r="N7" s="5">
        <f>'Portfolio debt liabilities '!B7/GDP!B7</f>
        <v>0.96068800561893219</v>
      </c>
      <c r="O7" s="5">
        <f>'Portfolio debt liabilities '!L7/GDP!L7</f>
        <v>1.2383887020668785</v>
      </c>
      <c r="P7" s="5">
        <f>'Portfolio debt liabilities '!AE7/GDP!AE7</f>
        <v>0.99738897873888688</v>
      </c>
      <c r="Q7" s="5">
        <f>'FDI liabilities'!B7/GDP!B7</f>
        <v>0.12889413178659381</v>
      </c>
      <c r="R7" s="5">
        <f>'FDI liabilities'!L7/GDP!L7</f>
        <v>0.45938818218290484</v>
      </c>
      <c r="S7" s="5">
        <f>'FDI liabilities'!AE7/GDP!AE7</f>
        <v>0.59953794685243755</v>
      </c>
    </row>
    <row r="8" spans="1:19" x14ac:dyDescent="0.3">
      <c r="A8" s="3" t="s">
        <v>7</v>
      </c>
      <c r="B8" s="5">
        <f>'Portfolio equity assets '!B8/GDP!B8</f>
        <v>3.4525199754147878E-3</v>
      </c>
      <c r="C8" s="6">
        <f>'Portfolio equity assets '!L8/GDP!L8</f>
        <v>0.21025580722576623</v>
      </c>
      <c r="D8" s="6">
        <f>'Portfolio equity assets '!AE8/GDP!AE8</f>
        <v>0.99195563074836468</v>
      </c>
      <c r="E8" s="6">
        <f>'Portfolio debt assets '!B8/GDP!B8</f>
        <v>0.28547673582467897</v>
      </c>
      <c r="F8" s="6">
        <f>'Portfolio debt assets '!L8/GDP!L8</f>
        <v>0.80198727662826519</v>
      </c>
      <c r="G8" s="6">
        <f>'Portfolio debt assets '!AE8/GDP!AE8</f>
        <v>1.3703348476286008</v>
      </c>
      <c r="H8" s="5">
        <f>'FDI assets'!B8/GDP!B8</f>
        <v>0.14446365972282385</v>
      </c>
      <c r="I8" s="5">
        <f>'FDI assets'!L8/GDP!L8</f>
        <v>0.5426945962233124</v>
      </c>
      <c r="J8" s="5">
        <f>'FDI assets'!AE8/GDP!AE8</f>
        <v>0.71397749819866907</v>
      </c>
      <c r="K8" s="5">
        <f>'Portfolio equity liabilities '!B8/GDP!B8</f>
        <v>5.8816766266530554E-2</v>
      </c>
      <c r="L8" s="5">
        <f>'Portfolio equity liabilities '!L8/GDP!L8</f>
        <v>0.60203612650366956</v>
      </c>
      <c r="M8" s="5">
        <f>'Portfolio equity liabilities '!AE8/GDP!AE8</f>
        <v>0.68621283677823153</v>
      </c>
      <c r="N8" s="5">
        <f>'Portfolio debt liabilities '!B8/GDP!B8</f>
        <v>0.87066768554569585</v>
      </c>
      <c r="O8" s="5">
        <f>'Portfolio debt liabilities '!L8/GDP!L8</f>
        <v>0.90953543234993861</v>
      </c>
      <c r="P8" s="5">
        <f>'Portfolio debt liabilities '!AE8/GDP!AE8</f>
        <v>1.9077036975023345</v>
      </c>
      <c r="Q8" s="5">
        <f>'FDI liabilities'!B8/GDP!B8</f>
        <v>8.889222350609445E-2</v>
      </c>
      <c r="R8" s="5">
        <f>'FDI liabilities'!L8/GDP!L8</f>
        <v>0.39239360586084537</v>
      </c>
      <c r="S8" s="5">
        <f>'FDI liabilities'!AE8/GDP!AE8</f>
        <v>0.51584631256975744</v>
      </c>
    </row>
    <row r="9" spans="1:19" x14ac:dyDescent="0.3">
      <c r="A9" s="3" t="s">
        <v>8</v>
      </c>
      <c r="B9" s="5">
        <f>'Portfolio equity assets '!B9/GDP!B9</f>
        <v>3.9241539636752955E-2</v>
      </c>
      <c r="C9" s="6">
        <f>'Portfolio equity assets '!L9/GDP!L9</f>
        <v>0.18450408494180232</v>
      </c>
      <c r="D9" s="6">
        <f>'Portfolio equity assets '!AE9/GDP!AE9</f>
        <v>0.33328173124624116</v>
      </c>
      <c r="E9" s="6">
        <f>'Portfolio debt assets '!B9/GDP!B9</f>
        <v>0.49961232842981618</v>
      </c>
      <c r="F9" s="6">
        <f>'Portfolio debt assets '!L9/GDP!L9</f>
        <v>1.0445872618865255</v>
      </c>
      <c r="G9" s="6">
        <f>'Portfolio debt assets '!AE9/GDP!AE9</f>
        <v>1.845239338629477</v>
      </c>
      <c r="H9" s="5">
        <f>'FDI assets'!B9/GDP!B9</f>
        <v>0.20601191016934267</v>
      </c>
      <c r="I9" s="5">
        <f>'FDI assets'!L9/GDP!L9</f>
        <v>0.4068015088430984</v>
      </c>
      <c r="J9" s="5">
        <f>'FDI assets'!AE9/GDP!AE9</f>
        <v>0.73547296391255679</v>
      </c>
      <c r="K9" s="5">
        <f>'Portfolio equity liabilities '!B9/GDP!B9</f>
        <v>7.8398540116434809E-2</v>
      </c>
      <c r="L9" s="5">
        <f>'Portfolio equity liabilities '!L9/GDP!L9</f>
        <v>0.26620294934504068</v>
      </c>
      <c r="M9" s="5">
        <f>'Portfolio equity liabilities '!AE9/GDP!AE9</f>
        <v>0.40212117812222137</v>
      </c>
      <c r="N9" s="5">
        <f>'Portfolio debt liabilities '!B9/GDP!B9</f>
        <v>0.56801534113545304</v>
      </c>
      <c r="O9" s="5">
        <f>'Portfolio debt liabilities '!L9/GDP!L9</f>
        <v>1.1439322162643124</v>
      </c>
      <c r="P9" s="5">
        <f>'Portfolio debt liabilities '!AE9/GDP!AE9</f>
        <v>2.2810119834159339</v>
      </c>
      <c r="Q9" s="5">
        <f>'FDI liabilities'!B9/GDP!B9</f>
        <v>0.23195311631443355</v>
      </c>
      <c r="R9" s="5">
        <f>'FDI liabilities'!L9/GDP!L9</f>
        <v>0.28981116110536059</v>
      </c>
      <c r="S9" s="5">
        <f>'FDI liabilities'!AE9/GDP!AE9</f>
        <v>0.52217206969730978</v>
      </c>
    </row>
    <row r="10" spans="1:19" x14ac:dyDescent="0.3">
      <c r="A10" s="3" t="s">
        <v>9</v>
      </c>
      <c r="B10" s="5">
        <f>'Portfolio equity assets '!B10/GDP!B10</f>
        <v>5.5587933136148189E-2</v>
      </c>
      <c r="C10" s="6">
        <f>'Portfolio equity assets '!L10/GDP!L10</f>
        <v>0.23040101907884206</v>
      </c>
      <c r="D10" s="6">
        <f>'Portfolio equity assets '!AE10/GDP!AE10</f>
        <v>0.44023919366196235</v>
      </c>
      <c r="E10" s="6">
        <f>'Portfolio debt assets '!B10/GDP!B10</f>
        <v>0.45535169766000816</v>
      </c>
      <c r="F10" s="6">
        <f>'Portfolio debt assets '!L10/GDP!L10</f>
        <v>1.0794428435499783</v>
      </c>
      <c r="G10" s="6">
        <f>'Portfolio debt assets '!AE10/GDP!AE10</f>
        <v>1.4878192857934822</v>
      </c>
      <c r="H10" s="5">
        <f>'FDI assets'!B10/GDP!B10</f>
        <v>7.5611507393511856E-2</v>
      </c>
      <c r="I10" s="5">
        <f>'FDI assets'!L10/GDP!L10</f>
        <v>0.35180387936989233</v>
      </c>
      <c r="J10" s="5">
        <f>'FDI assets'!AE10/GDP!AE10</f>
        <v>0.74194531144257225</v>
      </c>
      <c r="K10" s="5">
        <f>'Portfolio equity liabilities '!B10/GDP!B10</f>
        <v>4.5167781145382176E-2</v>
      </c>
      <c r="L10" s="5">
        <f>'Portfolio equity liabilities '!L10/GDP!L10</f>
        <v>0.14492250561806386</v>
      </c>
      <c r="M10" s="5">
        <f>'Portfolio equity liabilities '!AE10/GDP!AE10</f>
        <v>0.26755293460257906</v>
      </c>
      <c r="N10" s="5">
        <f>'Portfolio debt liabilities '!B10/GDP!B10</f>
        <v>0.44227701268042791</v>
      </c>
      <c r="O10" s="5">
        <f>'Portfolio debt liabilities '!L10/GDP!L10</f>
        <v>1.2169371265427531</v>
      </c>
      <c r="P10" s="5">
        <f>'Portfolio debt liabilities '!AE10/GDP!AE10</f>
        <v>1.2833943712234093</v>
      </c>
      <c r="Q10" s="5">
        <f>'FDI liabilities'!B10/GDP!B10</f>
        <v>3.4340661845105425E-2</v>
      </c>
      <c r="R10" s="5">
        <f>'FDI liabilities'!L10/GDP!L10</f>
        <v>0.33007797690802992</v>
      </c>
      <c r="S10" s="5">
        <f>'FDI liabilities'!AE10/GDP!AE10</f>
        <v>0.49419363151455042</v>
      </c>
    </row>
    <row r="11" spans="1:19" x14ac:dyDescent="0.3">
      <c r="A11" s="3" t="s">
        <v>10</v>
      </c>
      <c r="B11" s="5">
        <f>'Portfolio equity assets '!B11/GDP!B11</f>
        <v>3.5924893815788648E-3</v>
      </c>
      <c r="C11" s="6">
        <f>'Portfolio equity assets '!L11/GDP!L11</f>
        <v>2.1680501186239622E-2</v>
      </c>
      <c r="D11" s="6">
        <f>'Portfolio equity assets '!AE11/GDP!AE11</f>
        <v>5.6804119723770516E-2</v>
      </c>
      <c r="E11" s="6">
        <f>'Portfolio debt assets '!B11/GDP!B11</f>
        <v>0.17502972024412597</v>
      </c>
      <c r="F11" s="6">
        <f>'Portfolio debt assets '!L11/GDP!L11</f>
        <v>0.45418496669718561</v>
      </c>
      <c r="G11" s="6">
        <f>'Portfolio debt assets '!AE11/GDP!AE11</f>
        <v>1.2709806787534643</v>
      </c>
      <c r="H11" s="5">
        <f>'FDI assets'!B11/GDP!B11</f>
        <v>6.9441205977848969E-3</v>
      </c>
      <c r="I11" s="5">
        <f>'FDI assets'!L11/GDP!L11</f>
        <v>6.4005234282325033E-2</v>
      </c>
      <c r="J11" s="5">
        <f>'FDI assets'!AE11/GDP!AE11</f>
        <v>9.9193148085642086E-2</v>
      </c>
      <c r="K11" s="5">
        <f>'Portfolio equity liabilities '!B11/GDP!B11</f>
        <v>1.3309169879386362E-2</v>
      </c>
      <c r="L11" s="5">
        <f>'Portfolio equity liabilities '!L11/GDP!L11</f>
        <v>7.9774006524317917E-2</v>
      </c>
      <c r="M11" s="5">
        <f>'Portfolio equity liabilities '!AE11/GDP!AE11</f>
        <v>0.11503369397640921</v>
      </c>
      <c r="N11" s="5">
        <f>'Portfolio debt liabilities '!B11/GDP!B11</f>
        <v>0.37571192012621302</v>
      </c>
      <c r="O11" s="5">
        <f>'Portfolio debt liabilities '!L11/GDP!L11</f>
        <v>1.0106866836115707</v>
      </c>
      <c r="P11" s="5">
        <f>'Portfolio debt liabilities '!AE11/GDP!AE11</f>
        <v>2.6233248616514699</v>
      </c>
      <c r="Q11" s="5">
        <f>'FDI liabilities'!B11/GDP!B11</f>
        <v>8.5668924922684131E-2</v>
      </c>
      <c r="R11" s="5">
        <f>'FDI liabilities'!L11/GDP!L11</f>
        <v>0.1140083481613286</v>
      </c>
      <c r="S11" s="5">
        <f>'FDI liabilities'!AE11/GDP!AE11</f>
        <v>0.25373090613853438</v>
      </c>
    </row>
    <row r="12" spans="1:19" x14ac:dyDescent="0.3">
      <c r="A12" s="3" t="s">
        <v>11</v>
      </c>
      <c r="B12" s="5">
        <f>'Portfolio equity assets '!B12/GDP!B12</f>
        <v>3.5432933717521931E-3</v>
      </c>
      <c r="C12" s="6">
        <f>'Portfolio equity assets '!L12/GDP!L12</f>
        <v>0.27850677673118734</v>
      </c>
      <c r="D12" s="6">
        <f>'Portfolio equity assets '!AE12/GDP!AE12</f>
        <v>0.61942112195494392</v>
      </c>
      <c r="E12" s="6">
        <f>'Portfolio debt assets '!B12/GDP!B12</f>
        <v>3.5293590719756303E-2</v>
      </c>
      <c r="F12" s="6">
        <f>'Portfolio debt assets '!L12/GDP!L12</f>
        <v>0.36313171993196341</v>
      </c>
      <c r="G12" s="6">
        <f>'Portfolio debt assets '!AE12/GDP!AE12</f>
        <v>0.22095335972036201</v>
      </c>
      <c r="H12" s="5">
        <f>'FDI assets'!B12/GDP!B12</f>
        <v>1.0169827043268772E-2</v>
      </c>
      <c r="I12" s="5">
        <f>'FDI assets'!L12/GDP!L12</f>
        <v>0.17868977046759821</v>
      </c>
      <c r="J12" s="5">
        <f>'FDI assets'!AE12/GDP!AE12</f>
        <v>0.22254002317808017</v>
      </c>
      <c r="K12" s="5">
        <f>'Portfolio equity liabilities '!B12/GDP!B12</f>
        <v>7.4592250947164816E-5</v>
      </c>
      <c r="L12" s="5">
        <f>'Portfolio equity liabilities '!L12/GDP!L12</f>
        <v>2.5633987309783536E-2</v>
      </c>
      <c r="M12" s="5">
        <f>'Portfolio equity liabilities '!AE12/GDP!AE12</f>
        <v>7.3733066161784072E-2</v>
      </c>
      <c r="N12" s="5">
        <f>'Portfolio debt liabilities '!B12/GDP!B12</f>
        <v>0.64678836411240648</v>
      </c>
      <c r="O12" s="5">
        <f>'Portfolio debt liabilities '!L12/GDP!L12</f>
        <v>1.4035883335176307</v>
      </c>
      <c r="P12" s="5">
        <f>'Portfolio debt liabilities '!AE12/GDP!AE12</f>
        <v>0.58552752677967579</v>
      </c>
      <c r="Q12" s="5">
        <f>'FDI liabilities'!B12/GDP!B12</f>
        <v>1.064315087694853E-2</v>
      </c>
      <c r="R12" s="5">
        <f>'FDI liabilities'!L12/GDP!L12</f>
        <v>0.13142749152823083</v>
      </c>
      <c r="S12" s="5">
        <f>'FDI liabilities'!AE12/GDP!AE12</f>
        <v>0.37409309954167108</v>
      </c>
    </row>
    <row r="13" spans="1:19" x14ac:dyDescent="0.3">
      <c r="A13" s="3" t="s">
        <v>12</v>
      </c>
      <c r="B13" s="5">
        <f>'Portfolio equity assets '!B13/GDP!B13</f>
        <v>0.25936812553524646</v>
      </c>
      <c r="C13" s="6">
        <f>'Portfolio equity assets '!L13/GDP!L13</f>
        <v>1.3515319808054425</v>
      </c>
      <c r="D13" s="6">
        <f>'Portfolio equity assets '!AE13/GDP!AE13</f>
        <v>3.5847590425801084</v>
      </c>
      <c r="E13" s="6">
        <f>'Portfolio debt assets '!B13/GDP!B13</f>
        <v>0.79243035548694807</v>
      </c>
      <c r="F13" s="6">
        <f>'Portfolio debt assets '!L13/GDP!L13</f>
        <v>6.4211079572374414</v>
      </c>
      <c r="G13" s="6">
        <f>'Portfolio debt assets '!AE13/GDP!AE13</f>
        <v>8.0367309186050662</v>
      </c>
      <c r="H13" s="5">
        <f>'FDI assets'!B13/GDP!B13</f>
        <v>0.56091530692301028</v>
      </c>
      <c r="I13" s="5">
        <f>'FDI assets'!L13/GDP!L13</f>
        <v>1.1669727206462979</v>
      </c>
      <c r="J13" s="5">
        <f>'FDI assets'!AE13/GDP!AE13</f>
        <v>3.3976299228388989</v>
      </c>
      <c r="K13" s="5">
        <f>'Portfolio equity liabilities '!B13/GDP!B13</f>
        <v>0.31773176831473016</v>
      </c>
      <c r="L13" s="5">
        <f>'Portfolio equity liabilities '!L13/GDP!L13</f>
        <v>2.9260279961124946</v>
      </c>
      <c r="M13" s="5">
        <f>'Portfolio equity liabilities '!AE13/GDP!AE13</f>
        <v>8.0204948037611583</v>
      </c>
      <c r="N13" s="5">
        <f>'Portfolio debt liabilities '!B13/GDP!B13</f>
        <v>1.0744054092198621</v>
      </c>
      <c r="O13" s="5">
        <f>'Portfolio debt liabilities '!L13/GDP!L13</f>
        <v>4.224103231488793</v>
      </c>
      <c r="P13" s="5">
        <f>'Portfolio debt liabilities '!AE13/GDP!AE13</f>
        <v>4.5273258521811828</v>
      </c>
      <c r="Q13" s="5">
        <f>'FDI liabilities'!B13/GDP!B13</f>
        <v>0.6590464154577641</v>
      </c>
      <c r="R13" s="5">
        <f>'FDI liabilities'!L13/GDP!L13</f>
        <v>2.0751696835327706</v>
      </c>
      <c r="S13" s="5">
        <f>'FDI liabilities'!AE13/GDP!AE13</f>
        <v>3.7125129981876421</v>
      </c>
    </row>
    <row r="14" spans="1:19" x14ac:dyDescent="0.3">
      <c r="A14" s="3" t="s">
        <v>13</v>
      </c>
      <c r="B14" s="5">
        <f>'Portfolio equity assets '!B14/GDP!B14</f>
        <v>2.853555293707408E-2</v>
      </c>
      <c r="C14" s="6">
        <f>'Portfolio equity assets '!L14/GDP!L14</f>
        <v>0.21398549353676197</v>
      </c>
      <c r="D14" s="6">
        <f>'Portfolio equity assets '!AE14/GDP!AE14</f>
        <v>0.55353080147553646</v>
      </c>
      <c r="E14" s="6">
        <f>'Portfolio debt assets '!B14/GDP!B14</f>
        <v>0.29263300391073449</v>
      </c>
      <c r="F14" s="6">
        <f>'Portfolio debt assets '!L14/GDP!L14</f>
        <v>0.59275624893801027</v>
      </c>
      <c r="G14" s="6">
        <f>'Portfolio debt assets '!AE14/GDP!AE14</f>
        <v>0.65826573970161251</v>
      </c>
      <c r="H14" s="5">
        <f>'FDI assets'!B14/GDP!B14</f>
        <v>7.8170137565707093E-2</v>
      </c>
      <c r="I14" s="5">
        <f>'FDI assets'!L14/GDP!L14</f>
        <v>0.16281696431967985</v>
      </c>
      <c r="J14" s="5">
        <f>'FDI assets'!AE14/GDP!AE14</f>
        <v>0.37283029839752607</v>
      </c>
      <c r="K14" s="5">
        <f>'Portfolio equity liabilities '!B14/GDP!B14</f>
        <v>3.7912696593125912E-2</v>
      </c>
      <c r="L14" s="5">
        <f>'Portfolio equity liabilities '!L14/GDP!L14</f>
        <v>0.13559472061109745</v>
      </c>
      <c r="M14" s="5">
        <f>'Portfolio equity liabilities '!AE14/GDP!AE14</f>
        <v>0.13352180541487288</v>
      </c>
      <c r="N14" s="5">
        <f>'Portfolio debt liabilities '!B14/GDP!B14</f>
        <v>0.44926288023951905</v>
      </c>
      <c r="O14" s="5">
        <f>'Portfolio debt liabilities '!L14/GDP!L14</f>
        <v>0.86503426104347625</v>
      </c>
      <c r="P14" s="5">
        <f>'Portfolio debt liabilities '!AE14/GDP!AE14</f>
        <v>1.2055621775298928</v>
      </c>
      <c r="Q14" s="5">
        <f>'FDI liabilities'!B14/GDP!B14</f>
        <v>5.2059086541103992E-2</v>
      </c>
      <c r="R14" s="5">
        <f>'FDI liabilities'!L14/GDP!L14</f>
        <v>0.15379546711065237</v>
      </c>
      <c r="S14" s="5">
        <f>'FDI liabilities'!AE14/GDP!AE14</f>
        <v>0.32327297205685451</v>
      </c>
    </row>
    <row r="15" spans="1:19" x14ac:dyDescent="0.3">
      <c r="A15" s="3" t="s">
        <v>14</v>
      </c>
      <c r="B15" s="5">
        <f>'Portfolio equity assets '!B15/GDP!B15</f>
        <v>2.3900107659540228E-2</v>
      </c>
      <c r="C15" s="6">
        <f>'Portfolio equity assets '!L15/GDP!L15</f>
        <v>6.0726689303549852E-2</v>
      </c>
      <c r="D15" s="6">
        <f>'Portfolio equity assets '!AE15/GDP!AE15</f>
        <v>0.43390789238611288</v>
      </c>
      <c r="E15" s="6">
        <f>'Portfolio debt assets '!B15/GDP!B15</f>
        <v>0.37686860078441442</v>
      </c>
      <c r="F15" s="6">
        <f>'Portfolio debt assets '!L15/GDP!L15</f>
        <v>0.51152880073671037</v>
      </c>
      <c r="G15" s="6">
        <f>'Portfolio debt assets '!AE15/GDP!AE15</f>
        <v>1.0330370796672141</v>
      </c>
      <c r="H15" s="5">
        <f>'FDI assets'!B15/GDP!B15</f>
        <v>5.7164659302591153E-2</v>
      </c>
      <c r="I15" s="5">
        <f>'FDI assets'!L15/GDP!L15</f>
        <v>7.5710833486698048E-2</v>
      </c>
      <c r="J15" s="5">
        <f>'FDI assets'!AE15/GDP!AE15</f>
        <v>0.48878307724851611</v>
      </c>
      <c r="K15" s="5">
        <f>'Portfolio equity liabilities '!B15/GDP!B15</f>
        <v>3.7663105207176785E-2</v>
      </c>
      <c r="L15" s="5">
        <f>'Portfolio equity liabilities '!L15/GDP!L15</f>
        <v>0.12413191444463448</v>
      </c>
      <c r="M15" s="5">
        <f>'Portfolio equity liabilities '!AE15/GDP!AE15</f>
        <v>0.40266046137998146</v>
      </c>
      <c r="N15" s="5">
        <f>'Portfolio debt liabilities '!B15/GDP!B15</f>
        <v>0.30408711655373893</v>
      </c>
      <c r="O15" s="5">
        <f>'Portfolio debt liabilities '!L15/GDP!L15</f>
        <v>0.29397604776077074</v>
      </c>
      <c r="P15" s="5">
        <f>'Portfolio debt liabilities '!AE15/GDP!AE15</f>
        <v>1.0135523023504223</v>
      </c>
      <c r="Q15" s="5">
        <f>'FDI liabilities'!B15/GDP!B15</f>
        <v>3.716362954660372E-3</v>
      </c>
      <c r="R15" s="5">
        <f>'FDI liabilities'!L15/GDP!L15</f>
        <v>2.1330596968306435E-2</v>
      </c>
      <c r="S15" s="5">
        <f>'FDI liabilities'!AE15/GDP!AE15</f>
        <v>8.2133678001034563E-2</v>
      </c>
    </row>
    <row r="16" spans="1:19" x14ac:dyDescent="0.3">
      <c r="A16" s="3" t="s">
        <v>15</v>
      </c>
      <c r="B16" s="5">
        <f>'Portfolio equity assets '!B16/GDP!B16</f>
        <v>3.366489006574555E-3</v>
      </c>
      <c r="C16" s="6">
        <f>'Portfolio equity assets '!L16/GDP!L16</f>
        <v>1.2302266344458232E-2</v>
      </c>
      <c r="D16" s="6">
        <f>'Portfolio equity assets '!AE16/GDP!AE16</f>
        <v>4.3508417239308213E-2</v>
      </c>
      <c r="E16" s="6">
        <f>'Portfolio debt assets '!B16/GDP!B16</f>
        <v>4.8056866317381645E-2</v>
      </c>
      <c r="F16" s="6">
        <f>'Portfolio debt assets '!L16/GDP!L16</f>
        <v>8.2915010408207035E-2</v>
      </c>
      <c r="G16" s="6">
        <f>'Portfolio debt assets '!AE16/GDP!AE16</f>
        <v>0.12972357455918734</v>
      </c>
      <c r="H16" s="5">
        <f>'FDI assets'!B16/GDP!B16</f>
        <v>1.6092626024044578E-2</v>
      </c>
      <c r="I16" s="5">
        <f>'FDI assets'!L16/GDP!L16</f>
        <v>6.2982472146630789E-2</v>
      </c>
      <c r="J16" s="5">
        <f>'FDI assets'!AE16/GDP!AE16</f>
        <v>0.16356252164584878</v>
      </c>
      <c r="K16" s="5">
        <f>'Portfolio equity liabilities '!B16/GDP!B16</f>
        <v>9.1603142699628451E-2</v>
      </c>
      <c r="L16" s="5">
        <f>'Portfolio equity liabilities '!L16/GDP!L16</f>
        <v>7.3823891319966028E-2</v>
      </c>
      <c r="M16" s="5">
        <f>'Portfolio equity liabilities '!AE16/GDP!AE16</f>
        <v>0.10038654071905796</v>
      </c>
      <c r="N16" s="5">
        <f>'Portfolio debt liabilities '!B16/GDP!B16</f>
        <v>0.24973554672913059</v>
      </c>
      <c r="O16" s="5">
        <f>'Portfolio debt liabilities '!L16/GDP!L16</f>
        <v>0.22050961070392136</v>
      </c>
      <c r="P16" s="5">
        <f>'Portfolio debt liabilities '!AE16/GDP!AE16</f>
        <v>0.31022644980716768</v>
      </c>
      <c r="Q16" s="5">
        <f>'FDI liabilities'!B16/GDP!B16</f>
        <v>8.2123682507947354E-2</v>
      </c>
      <c r="R16" s="5">
        <f>'FDI liabilities'!L16/GDP!L16</f>
        <v>0.20632686777289791</v>
      </c>
      <c r="S16" s="5">
        <f>'FDI liabilities'!AE16/GDP!AE16</f>
        <v>0.48596603373841729</v>
      </c>
    </row>
    <row r="17" spans="1:19" x14ac:dyDescent="0.3">
      <c r="A17" s="3" t="s">
        <v>16</v>
      </c>
      <c r="B17" s="5">
        <f>'Portfolio equity assets '!B17/GDP!B17</f>
        <v>0.16762598772461068</v>
      </c>
      <c r="C17" s="6">
        <f>'Portfolio equity assets '!L17/GDP!L17</f>
        <v>0.6127952618031165</v>
      </c>
      <c r="D17" s="6">
        <f>'Portfolio equity assets '!AE17/GDP!AE17</f>
        <v>1.0158163113385263</v>
      </c>
      <c r="E17" s="6">
        <f>'Portfolio debt assets '!B17/GDP!B17</f>
        <v>0.77099014346963513</v>
      </c>
      <c r="F17" s="6">
        <f>'Portfolio debt assets '!L17/GDP!L17</f>
        <v>1.9491695443117389</v>
      </c>
      <c r="G17" s="6">
        <f>'Portfolio debt assets '!AE17/GDP!AE17</f>
        <v>2.4280194897410694</v>
      </c>
      <c r="H17" s="5">
        <f>'FDI assets'!B17/GDP!B17</f>
        <v>0.33748813507047609</v>
      </c>
      <c r="I17" s="5">
        <f>'FDI assets'!L17/GDP!L17</f>
        <v>3.7497671524639649</v>
      </c>
      <c r="J17" s="5">
        <f>'FDI assets'!AE17/GDP!AE17</f>
        <v>6.1622159773429432</v>
      </c>
      <c r="K17" s="5">
        <f>'Portfolio equity liabilities '!B17/GDP!B17</f>
        <v>0.25954462595199473</v>
      </c>
      <c r="L17" s="5">
        <f>'Portfolio equity liabilities '!L17/GDP!L17</f>
        <v>0.56113842494289434</v>
      </c>
      <c r="M17" s="5">
        <f>'Portfolio equity liabilities '!AE17/GDP!AE17</f>
        <v>1.0276131875790071</v>
      </c>
      <c r="N17" s="5">
        <f>'Portfolio debt liabilities '!B17/GDP!B17</f>
        <v>0.75732617174608963</v>
      </c>
      <c r="O17" s="5">
        <f>'Portfolio debt liabilities '!L17/GDP!L17</f>
        <v>2.8706534801364803</v>
      </c>
      <c r="P17" s="5">
        <f>'Portfolio debt liabilities '!AE17/GDP!AE17</f>
        <v>2.6094883632418853</v>
      </c>
      <c r="Q17" s="5">
        <f>'FDI liabilities'!B17/GDP!B17</f>
        <v>0.20924912872239954</v>
      </c>
      <c r="R17" s="5">
        <f>'FDI liabilities'!L17/GDP!L17</f>
        <v>2.9615250707855316</v>
      </c>
      <c r="S17" s="5">
        <f>'FDI liabilities'!AE17/GDP!AE17</f>
        <v>5.2239815750059639</v>
      </c>
    </row>
    <row r="18" spans="1:19" x14ac:dyDescent="0.3">
      <c r="A18" s="3" t="s">
        <v>17</v>
      </c>
      <c r="B18" s="5">
        <f>'Portfolio equity assets '!B18/GDP!B18</f>
        <v>1.4070727446927249E-2</v>
      </c>
      <c r="C18" s="6">
        <f>'Portfolio equity assets '!L18/GDP!L18</f>
        <v>0.21692431835555934</v>
      </c>
      <c r="D18" s="6">
        <f>'Portfolio equity assets '!AE18/GDP!AE18</f>
        <v>0.38521351364342959</v>
      </c>
      <c r="E18" s="6">
        <f>'Portfolio debt assets '!B18/GDP!B18</f>
        <v>4.6578099545058822E-2</v>
      </c>
      <c r="F18" s="6">
        <f>'Portfolio debt assets '!L18/GDP!L18</f>
        <v>0.24068085571100944</v>
      </c>
      <c r="G18" s="6">
        <f>'Portfolio debt assets '!AE18/GDP!AE18</f>
        <v>0.27170555451161377</v>
      </c>
      <c r="H18" s="5">
        <f>'FDI assets'!B18/GDP!B18</f>
        <v>0.22101520292966023</v>
      </c>
      <c r="I18" s="5">
        <f>'FDI assets'!L18/GDP!L18</f>
        <v>0.24815012559003044</v>
      </c>
      <c r="J18" s="5">
        <f>'FDI assets'!AE18/GDP!AE18</f>
        <v>0.10479671275254521</v>
      </c>
      <c r="K18" s="5">
        <f>'Portfolio equity liabilities '!B18/GDP!B18</f>
        <v>8.309563830984508E-2</v>
      </c>
      <c r="L18" s="5">
        <f>'Portfolio equity liabilities '!L18/GDP!L18</f>
        <v>0.10878159469002913</v>
      </c>
      <c r="M18" s="5">
        <f>'Portfolio equity liabilities '!AE18/GDP!AE18</f>
        <v>0.17352603852793733</v>
      </c>
      <c r="N18" s="5">
        <f>'Portfolio debt liabilities '!B18/GDP!B18</f>
        <v>0.65577323813157129</v>
      </c>
      <c r="O18" s="5">
        <f>'Portfolio debt liabilities '!L18/GDP!L18</f>
        <v>0.8521750737158863</v>
      </c>
      <c r="P18" s="5">
        <f>'Portfolio debt liabilities '!AE18/GDP!AE18</f>
        <v>0.73408217873632786</v>
      </c>
      <c r="Q18" s="5">
        <f>'FDI liabilities'!B18/GDP!B18</f>
        <v>0.46899930013259816</v>
      </c>
      <c r="R18" s="5">
        <f>'FDI liabilities'!L18/GDP!L18</f>
        <v>0.56716761111987479</v>
      </c>
      <c r="S18" s="5">
        <f>'FDI liabilities'!AE18/GDP!AE18</f>
        <v>0.4185534010030369</v>
      </c>
    </row>
    <row r="19" spans="1:19" x14ac:dyDescent="0.3">
      <c r="A19" s="3" t="s">
        <v>18</v>
      </c>
      <c r="B19" s="5">
        <f>'Portfolio equity assets '!B19/GDP!B19</f>
        <v>4.2236401230933356E-2</v>
      </c>
      <c r="C19" s="6">
        <f>'Portfolio equity assets '!L19/GDP!L19</f>
        <v>0.33288727248948274</v>
      </c>
      <c r="D19" s="6">
        <f>'Portfolio equity assets '!AE19/GDP!AE19</f>
        <v>1.7906410447235694</v>
      </c>
      <c r="E19" s="6">
        <f>'Portfolio debt assets '!B19/GDP!B19</f>
        <v>0.21290581336579925</v>
      </c>
      <c r="F19" s="6">
        <f>'Portfolio debt assets '!L19/GDP!L19</f>
        <v>0.95584143960047518</v>
      </c>
      <c r="G19" s="6">
        <f>'Portfolio debt assets '!AE19/GDP!AE19</f>
        <v>1.4505432541877803</v>
      </c>
      <c r="H19" s="5">
        <f>'FDI assets'!B19/GDP!B19</f>
        <v>0.10457704582965956</v>
      </c>
      <c r="I19" s="5">
        <f>'FDI assets'!L19/GDP!L19</f>
        <v>0.36016116512533775</v>
      </c>
      <c r="J19" s="5">
        <f>'FDI assets'!AE19/GDP!AE19</f>
        <v>0.47652475216558915</v>
      </c>
      <c r="K19" s="5">
        <f>'Portfolio equity liabilities '!B19/GDP!B19</f>
        <v>7.9273399502221814E-2</v>
      </c>
      <c r="L19" s="5">
        <f>'Portfolio equity liabilities '!L19/GDP!L19</f>
        <v>9.8143736512849578E-2</v>
      </c>
      <c r="M19" s="5">
        <f>'Portfolio equity liabilities '!AE19/GDP!AE19</f>
        <v>0.24140458940116186</v>
      </c>
      <c r="N19" s="5">
        <f>'Portfolio debt liabilities '!B19/GDP!B19</f>
        <v>0.36726294126479414</v>
      </c>
      <c r="O19" s="5">
        <f>'Portfolio debt liabilities '!L19/GDP!L19</f>
        <v>0.96864274295950037</v>
      </c>
      <c r="P19" s="5">
        <f>'Portfolio debt liabilities '!AE19/GDP!AE19</f>
        <v>1.1872964613779387</v>
      </c>
      <c r="Q19" s="5">
        <f>'FDI liabilities'!B19/GDP!B19</f>
        <v>0.11296085964493299</v>
      </c>
      <c r="R19" s="5">
        <f>'FDI liabilities'!L19/GDP!L19</f>
        <v>0.21347108951441288</v>
      </c>
      <c r="S19" s="5">
        <f>'FDI liabilities'!AE19/GDP!AE19</f>
        <v>0.38845734235690743</v>
      </c>
    </row>
    <row r="20" spans="1:19" x14ac:dyDescent="0.3">
      <c r="A20" s="3" t="s">
        <v>19</v>
      </c>
      <c r="B20" s="5">
        <f>'Portfolio equity assets '!B20/GDP!B20</f>
        <v>1.1342798930822377E-2</v>
      </c>
      <c r="C20" s="6">
        <f>'Portfolio equity assets '!L20/GDP!L20</f>
        <v>7.5381644822471769E-2</v>
      </c>
      <c r="D20" s="6">
        <f>'Portfolio equity assets '!AE20/GDP!AE20</f>
        <v>0.20214339586721136</v>
      </c>
      <c r="E20" s="6">
        <f>'Portfolio debt assets '!B20/GDP!B20</f>
        <v>0.26623001852878841</v>
      </c>
      <c r="F20" s="6">
        <f>'Portfolio debt assets '!L20/GDP!L20</f>
        <v>1.2735973181584286</v>
      </c>
      <c r="G20" s="6">
        <f>'Portfolio debt assets '!AE20/GDP!AE20</f>
        <v>0.9130591797882045</v>
      </c>
      <c r="H20" s="5">
        <f>'FDI assets'!B20/GDP!B20</f>
        <v>2.2501575543023997E-2</v>
      </c>
      <c r="I20" s="5">
        <f>'FDI assets'!L20/GDP!L20</f>
        <v>0.30281874867572722</v>
      </c>
      <c r="J20" s="5">
        <f>'FDI assets'!AE20/GDP!AE20</f>
        <v>0.36219473604886371</v>
      </c>
      <c r="K20" s="5">
        <f>'Portfolio equity liabilities '!B20/GDP!B20</f>
        <v>3.0787582745801827E-2</v>
      </c>
      <c r="L20" s="5">
        <f>'Portfolio equity liabilities '!L20/GDP!L20</f>
        <v>0.22655781699306837</v>
      </c>
      <c r="M20" s="5">
        <f>'Portfolio equity liabilities '!AE20/GDP!AE20</f>
        <v>0.17043686748899378</v>
      </c>
      <c r="N20" s="5">
        <f>'Portfolio debt liabilities '!B20/GDP!B20</f>
        <v>0.37016729210485294</v>
      </c>
      <c r="O20" s="5">
        <f>'Portfolio debt liabilities '!L20/GDP!L20</f>
        <v>1.7013874500209885</v>
      </c>
      <c r="P20" s="5">
        <f>'Portfolio debt liabilities '!AE20/GDP!AE20</f>
        <v>1.4822239964252488</v>
      </c>
      <c r="Q20" s="5">
        <f>'FDI liabilities'!B20/GDP!B20</f>
        <v>0.16120225027837795</v>
      </c>
      <c r="R20" s="5">
        <f>'FDI liabilities'!L20/GDP!L20</f>
        <v>0.47688696310197659</v>
      </c>
      <c r="S20" s="5">
        <f>'FDI liabilities'!AE20/GDP!AE20</f>
        <v>0.82291872526077814</v>
      </c>
    </row>
    <row r="21" spans="1:19" x14ac:dyDescent="0.3">
      <c r="A21" s="3" t="s">
        <v>20</v>
      </c>
      <c r="B21" s="5">
        <f>'Portfolio equity assets '!B21/GDP!B21</f>
        <v>1.1246284505337519E-2</v>
      </c>
      <c r="C21" s="6">
        <f>'Portfolio equity assets '!L21/GDP!L21</f>
        <v>8.9252942914080133E-2</v>
      </c>
      <c r="D21" s="6">
        <f>'Portfolio equity assets '!AE21/GDP!AE21</f>
        <v>0.30176268644514542</v>
      </c>
      <c r="E21" s="6">
        <f>'Portfolio debt assets '!B21/GDP!B21</f>
        <v>0.27219624091803435</v>
      </c>
      <c r="F21" s="6">
        <f>'Portfolio debt assets '!L21/GDP!L21</f>
        <v>0.72702573451608343</v>
      </c>
      <c r="G21" s="6">
        <f>'Portfolio debt assets '!AE21/GDP!AE21</f>
        <v>0.96036140335298215</v>
      </c>
      <c r="H21" s="5">
        <f>'FDI assets'!B21/GDP!B21</f>
        <v>4.8208890106957052E-2</v>
      </c>
      <c r="I21" s="5">
        <f>'FDI assets'!L21/GDP!L21</f>
        <v>0.26770453693742946</v>
      </c>
      <c r="J21" s="5">
        <f>'FDI assets'!AE21/GDP!AE21</f>
        <v>0.58625354834253751</v>
      </c>
      <c r="K21" s="5">
        <f>'Portfolio equity liabilities '!B21/GDP!B21</f>
        <v>4.3107701404539983E-2</v>
      </c>
      <c r="L21" s="5">
        <f>'Portfolio equity liabilities '!L21/GDP!L21</f>
        <v>0.20586060286752256</v>
      </c>
      <c r="M21" s="5">
        <f>'Portfolio equity liabilities '!AE21/GDP!AE21</f>
        <v>0.21038896904397442</v>
      </c>
      <c r="N21" s="5">
        <f>'Portfolio debt liabilities '!B21/GDP!B21</f>
        <v>0.38377636560628275</v>
      </c>
      <c r="O21" s="5">
        <f>'Portfolio debt liabilities '!L21/GDP!L21</f>
        <v>0.98702439348334003</v>
      </c>
      <c r="P21" s="5">
        <f>'Portfolio debt liabilities '!AE21/GDP!AE21</f>
        <v>1.5493741696508321</v>
      </c>
      <c r="Q21" s="5">
        <f>'FDI liabilities'!B21/GDP!B21</f>
        <v>0.15449693908622475</v>
      </c>
      <c r="R21" s="5">
        <f>'FDI liabilities'!L21/GDP!L21</f>
        <v>0.4863000482770175</v>
      </c>
      <c r="S21" s="5">
        <f>'FDI liabilities'!AE21/GDP!AE21</f>
        <v>0.7627611165142969</v>
      </c>
    </row>
    <row r="22" spans="1:19" x14ac:dyDescent="0.3">
      <c r="A22" s="3" t="s">
        <v>21</v>
      </c>
      <c r="B22" s="5">
        <f>'Portfolio equity assets '!B22/GDP!B22</f>
        <v>7.0691152210644606E-2</v>
      </c>
      <c r="C22" s="6">
        <f>'Portfolio equity assets '!L22/GDP!L22</f>
        <v>0.42639639087269132</v>
      </c>
      <c r="D22" s="6">
        <f>'Portfolio equity assets '!AE22/GDP!AE22</f>
        <v>1.0793753814071507</v>
      </c>
      <c r="E22" s="6">
        <f>'Portfolio debt assets '!B22/GDP!B22</f>
        <v>0.25505367717600647</v>
      </c>
      <c r="F22" s="6">
        <f>'Portfolio debt assets '!L22/GDP!L22</f>
        <v>0.53823415912014827</v>
      </c>
      <c r="G22" s="6">
        <f>'Portfolio debt assets '!AE22/GDP!AE22</f>
        <v>0.78831503144820014</v>
      </c>
      <c r="H22" s="5">
        <f>'FDI assets'!B22/GDP!B22</f>
        <v>0.20924581054350866</v>
      </c>
      <c r="I22" s="5">
        <f>'FDI assets'!L22/GDP!L22</f>
        <v>0.76682853546399288</v>
      </c>
      <c r="J22" s="5">
        <f>'FDI assets'!AE22/GDP!AE22</f>
        <v>1.123382645148971</v>
      </c>
      <c r="K22" s="5">
        <f>'Portfolio equity liabilities '!B22/GDP!B22</f>
        <v>0.10236078840101384</v>
      </c>
      <c r="L22" s="5">
        <f>'Portfolio equity liabilities '!L22/GDP!L22</f>
        <v>0.26840440319525899</v>
      </c>
      <c r="M22" s="5">
        <f>'Portfolio equity liabilities '!AE22/GDP!AE22</f>
        <v>0.53608813164974989</v>
      </c>
      <c r="N22" s="5">
        <f>'Portfolio debt liabilities '!B22/GDP!B22</f>
        <v>0.85214607534980025</v>
      </c>
      <c r="O22" s="5">
        <f>'Portfolio debt liabilities '!L22/GDP!L22</f>
        <v>1.0544059760681739</v>
      </c>
      <c r="P22" s="5">
        <f>'Portfolio debt liabilities '!AE22/GDP!AE22</f>
        <v>1.2928161510292022</v>
      </c>
      <c r="Q22" s="5">
        <f>'FDI liabilities'!B22/GDP!B22</f>
        <v>6.0511626292311924E-2</v>
      </c>
      <c r="R22" s="5">
        <f>'FDI liabilities'!L22/GDP!L22</f>
        <v>0.66871051530907744</v>
      </c>
      <c r="S22" s="5">
        <f>'FDI liabilities'!AE22/GDP!AE22</f>
        <v>0.92695973880473914</v>
      </c>
    </row>
    <row r="23" spans="1:19" x14ac:dyDescent="0.3">
      <c r="A23" s="3" t="s">
        <v>22</v>
      </c>
      <c r="B23" s="5">
        <f>'Portfolio equity assets '!B23/GDP!B23</f>
        <v>0.3269014723168357</v>
      </c>
      <c r="C23" s="6">
        <f>'Portfolio equity assets '!L23/GDP!L23</f>
        <v>0.81077495304923908</v>
      </c>
      <c r="D23" s="6">
        <f>'Portfolio equity assets '!AE23/GDP!AE23</f>
        <v>1.1099196923520505</v>
      </c>
      <c r="E23" s="6">
        <f>'Portfolio debt assets '!B23/GDP!B23</f>
        <v>1.5651382777058742</v>
      </c>
      <c r="F23" s="6">
        <f>'Portfolio debt assets '!L23/GDP!L23</f>
        <v>2.8520987190704652</v>
      </c>
      <c r="G23" s="6">
        <f>'Portfolio debt assets '!AE23/GDP!AE23</f>
        <v>1.9879536976765824</v>
      </c>
      <c r="H23" s="5">
        <f>'FDI assets'!B23/GDP!B23</f>
        <v>0.35778811381754999</v>
      </c>
      <c r="I23" s="5">
        <f>'FDI assets'!L23/GDP!L23</f>
        <v>1.0658495359880173</v>
      </c>
      <c r="J23" s="5">
        <f>'FDI assets'!AE23/GDP!AE23</f>
        <v>2.5381356412204465</v>
      </c>
      <c r="K23" s="5">
        <f>'Portfolio equity liabilities '!B23/GDP!B23</f>
        <v>0.51122314243724032</v>
      </c>
      <c r="L23" s="5">
        <f>'Portfolio equity liabilities '!L23/GDP!L23</f>
        <v>1.1116299275835579</v>
      </c>
      <c r="M23" s="5">
        <f>'Portfolio equity liabilities '!AE23/GDP!AE23</f>
        <v>1.5966034184888407</v>
      </c>
      <c r="N23" s="5">
        <f>'Portfolio debt liabilities '!B23/GDP!B23</f>
        <v>0.88540080887079331</v>
      </c>
      <c r="O23" s="5">
        <f>'Portfolio debt liabilities '!L23/GDP!L23</f>
        <v>1.9397396124335269</v>
      </c>
      <c r="P23" s="5">
        <f>'Portfolio debt liabilities '!AE23/GDP!AE23</f>
        <v>2.0000070888529708</v>
      </c>
      <c r="Q23" s="5">
        <f>'FDI liabilities'!B23/GDP!B23</f>
        <v>0.20323786816254569</v>
      </c>
      <c r="R23" s="5">
        <f>'FDI liabilities'!L23/GDP!L23</f>
        <v>0.63166028369258298</v>
      </c>
      <c r="S23" s="5">
        <f>'FDI liabilities'!AE23/GDP!AE23</f>
        <v>2.1866458001745084</v>
      </c>
    </row>
    <row r="24" spans="1:19" x14ac:dyDescent="0.3">
      <c r="A24" s="3" t="s">
        <v>23</v>
      </c>
      <c r="B24" s="5">
        <f>'Portfolio equity assets '!B24/GDP!B24</f>
        <v>2.5609041792777616E-3</v>
      </c>
      <c r="C24" s="6">
        <f>'Portfolio equity assets '!L24/GDP!L24</f>
        <v>4.508826965394723E-3</v>
      </c>
      <c r="D24" s="6">
        <f>'Portfolio equity assets '!AE24/GDP!AE24</f>
        <v>3.5600427913224397E-3</v>
      </c>
      <c r="E24" s="6">
        <f>'Portfolio debt assets '!B24/GDP!B24</f>
        <v>8.3066141535886845E-2</v>
      </c>
      <c r="F24" s="6">
        <f>'Portfolio debt assets '!L24/GDP!L24</f>
        <v>0.12110056767359699</v>
      </c>
      <c r="G24" s="6">
        <f>'Portfolio debt assets '!AE24/GDP!AE24</f>
        <v>0.13518376845384567</v>
      </c>
      <c r="H24" s="5">
        <f>'FDI assets'!B24/GDP!B24</f>
        <v>1.0088068677471325E-3</v>
      </c>
      <c r="I24" s="5">
        <f>'FDI assets'!L24/GDP!L24</f>
        <v>1.9501067507116714E-2</v>
      </c>
      <c r="J24" s="5">
        <f>'FDI assets'!AE24/GDP!AE24</f>
        <v>6.1803340762893268E-2</v>
      </c>
      <c r="K24" s="5">
        <f>'Portfolio equity liabilities '!B24/GDP!B24</f>
        <v>9.6929323549024629E-3</v>
      </c>
      <c r="L24" s="5">
        <f>'Portfolio equity liabilities '!L24/GDP!L24</f>
        <v>2.8447793818625458E-2</v>
      </c>
      <c r="M24" s="5">
        <f>'Portfolio equity liabilities '!AE24/GDP!AE24</f>
        <v>3.1763852596647754E-2</v>
      </c>
      <c r="N24" s="5">
        <f>'Portfolio debt liabilities '!B24/GDP!B24</f>
        <v>0.27197750500530671</v>
      </c>
      <c r="O24" s="5">
        <f>'Portfolio debt liabilities '!L24/GDP!L24</f>
        <v>0.44672809584808676</v>
      </c>
      <c r="P24" s="5">
        <f>'Portfolio debt liabilities '!AE24/GDP!AE24</f>
        <v>0.43266982603019405</v>
      </c>
      <c r="Q24" s="5">
        <f>'FDI liabilities'!B24/GDP!B24</f>
        <v>3.5899620224345841E-2</v>
      </c>
      <c r="R24" s="5">
        <f>'FDI liabilities'!L24/GDP!L24</f>
        <v>0.10557518300122001</v>
      </c>
      <c r="S24" s="5">
        <f>'FDI liabilities'!AE24/GDP!AE24</f>
        <v>0.22578796941185042</v>
      </c>
    </row>
    <row r="25" spans="1:19" x14ac:dyDescent="0.3">
      <c r="A25" s="3" t="s">
        <v>24</v>
      </c>
      <c r="B25" s="5">
        <f>'Portfolio equity assets '!B25/GDP!B25</f>
        <v>0.24846479926272125</v>
      </c>
      <c r="C25" s="6">
        <f>'Portfolio equity assets '!L25/GDP!L25</f>
        <v>0.36587180149478815</v>
      </c>
      <c r="D25" s="6">
        <f>'Portfolio equity assets '!AE25/GDP!AE25</f>
        <v>0.74041062185925366</v>
      </c>
      <c r="E25" s="6">
        <f>'Portfolio debt assets '!B25/GDP!B25</f>
        <v>1.2295248494405568</v>
      </c>
      <c r="F25" s="6">
        <f>'Portfolio debt assets '!L25/GDP!L25</f>
        <v>2.1135969870560145</v>
      </c>
      <c r="G25" s="6">
        <f>'Portfolio debt assets '!AE25/GDP!AE25</f>
        <v>2.6096967621292388</v>
      </c>
      <c r="H25" s="5">
        <f>'FDI assets'!B25/GDP!B25</f>
        <v>0.22101482303754</v>
      </c>
      <c r="I25" s="5">
        <f>'FDI assets'!L25/GDP!L25</f>
        <v>0.75603165259887728</v>
      </c>
      <c r="J25" s="5">
        <f>'FDI assets'!AE25/GDP!AE25</f>
        <v>0.83640026944670953</v>
      </c>
      <c r="K25" s="5">
        <f>'Portfolio equity liabilities '!B25/GDP!B25</f>
        <v>0.17122940711653811</v>
      </c>
      <c r="L25" s="5">
        <f>'Portfolio equity liabilities '!L25/GDP!L25</f>
        <v>0.53278430005562338</v>
      </c>
      <c r="M25" s="5">
        <f>'Portfolio equity liabilities '!AE25/GDP!AE25</f>
        <v>0.64904671246784829</v>
      </c>
      <c r="N25" s="5">
        <f>'Portfolio debt liabilities '!B25/GDP!B25</f>
        <v>1.3539295396510462</v>
      </c>
      <c r="O25" s="5">
        <f>'Portfolio debt liabilities '!L25/GDP!L25</f>
        <v>2.3067368798577252</v>
      </c>
      <c r="P25" s="5">
        <f>'Portfolio debt liabilities '!AE25/GDP!AE25</f>
        <v>2.6438324817249099</v>
      </c>
      <c r="Q25" s="5">
        <f>'FDI liabilities'!B25/GDP!B25</f>
        <v>0.17402485860466885</v>
      </c>
      <c r="R25" s="5">
        <f>'FDI liabilities'!L25/GDP!L25</f>
        <v>0.42917991109966747</v>
      </c>
      <c r="S25" s="5">
        <f>'FDI liabilities'!AE25/GDP!AE25</f>
        <v>1.0148210964053979</v>
      </c>
    </row>
    <row r="26" spans="1:19" x14ac:dyDescent="0.3">
      <c r="A26" s="3" t="s">
        <v>25</v>
      </c>
      <c r="B26" s="5">
        <f>'Portfolio equity assets '!B26/GDP!B26</f>
        <v>7.929693594127038E-2</v>
      </c>
      <c r="C26" s="6">
        <f>'Portfolio equity assets '!L26/GDP!L26</f>
        <v>0.1815066621859302</v>
      </c>
      <c r="D26" s="6">
        <f>'Portfolio equity assets '!AE26/GDP!AE26</f>
        <v>0.40474701745394492</v>
      </c>
      <c r="E26" s="6">
        <f>'Portfolio debt assets '!B26/GDP!B26</f>
        <v>0.19265223698886791</v>
      </c>
      <c r="F26" s="6">
        <f>'Portfolio debt assets '!L26/GDP!L26</f>
        <v>0.28990140924981123</v>
      </c>
      <c r="G26" s="6">
        <f>'Portfolio debt assets '!AE26/GDP!AE26</f>
        <v>0.34554867949129559</v>
      </c>
      <c r="H26" s="5">
        <f>'FDI assets'!B26/GDP!B26</f>
        <v>0.17563639544801743</v>
      </c>
      <c r="I26" s="5">
        <f>'FDI assets'!L26/GDP!L26</f>
        <v>0.26511807758948014</v>
      </c>
      <c r="J26" s="5">
        <f>'FDI assets'!AE26/GDP!AE26</f>
        <v>0.36433645652615737</v>
      </c>
      <c r="K26" s="5">
        <f>'Portfolio equity liabilities '!B26/GDP!B26</f>
        <v>5.44606367235057E-2</v>
      </c>
      <c r="L26" s="5">
        <f>'Portfolio equity liabilities '!L26/GDP!L26</f>
        <v>0.16056535837890445</v>
      </c>
      <c r="M26" s="5">
        <f>'Portfolio equity liabilities '!AE26/GDP!AE26</f>
        <v>0.47340537982482234</v>
      </c>
      <c r="N26" s="5">
        <f>'Portfolio debt liabilities '!B26/GDP!B26</f>
        <v>0.30199878850878975</v>
      </c>
      <c r="O26" s="5">
        <f>'Portfolio debt liabilities '!L26/GDP!L26</f>
        <v>0.55090159304444042</v>
      </c>
      <c r="P26" s="5">
        <f>'Portfolio debt liabilities '!AE26/GDP!AE26</f>
        <v>0.82525999196957911</v>
      </c>
      <c r="Q26" s="5">
        <f>'FDI liabilities'!B26/GDP!B26</f>
        <v>0.132930429901364</v>
      </c>
      <c r="R26" s="5">
        <f>'FDI liabilities'!L26/GDP!L26</f>
        <v>0.24117951023222725</v>
      </c>
      <c r="S26" s="5">
        <f>'FDI liabilities'!AE26/GDP!AE26</f>
        <v>0.48159539090965325</v>
      </c>
    </row>
    <row r="27" spans="1:19" x14ac:dyDescent="0.3">
      <c r="B27" s="8"/>
    </row>
    <row r="28" spans="1:19" x14ac:dyDescent="0.3">
      <c r="A28" s="9" t="s">
        <v>38</v>
      </c>
      <c r="B28" s="8">
        <f t="shared" ref="B28:S28" si="0">AVERAGE(B3:B26)</f>
        <v>8.0475161931160638E-2</v>
      </c>
      <c r="C28" s="8">
        <f t="shared" si="0"/>
        <v>0.29285533778102613</v>
      </c>
      <c r="D28" s="8">
        <f t="shared" si="0"/>
        <v>0.7269345533697229</v>
      </c>
      <c r="E28" s="8">
        <f t="shared" si="0"/>
        <v>0.44165647135987512</v>
      </c>
      <c r="F28" s="8">
        <f t="shared" si="0"/>
        <v>1.1369976934773887</v>
      </c>
      <c r="G28" s="8">
        <f t="shared" si="0"/>
        <v>1.3623028419347059</v>
      </c>
      <c r="H28" s="8">
        <f t="shared" si="0"/>
        <v>0.15536946058545148</v>
      </c>
      <c r="I28" s="8">
        <f t="shared" si="0"/>
        <v>0.55930679979489906</v>
      </c>
      <c r="J28" s="8">
        <f t="shared" si="0"/>
        <v>1.0184202530890301</v>
      </c>
      <c r="K28" s="8">
        <f t="shared" si="0"/>
        <v>9.5489018376989795E-2</v>
      </c>
      <c r="L28" s="8">
        <f t="shared" si="0"/>
        <v>0.35257055391008962</v>
      </c>
      <c r="M28" s="8">
        <f t="shared" si="0"/>
        <v>0.72464416549904886</v>
      </c>
      <c r="N28" s="8">
        <f t="shared" si="0"/>
        <v>0.64354603903266161</v>
      </c>
      <c r="O28" s="8">
        <f t="shared" si="0"/>
        <v>1.3060626258340522</v>
      </c>
      <c r="P28" s="8">
        <f t="shared" si="0"/>
        <v>1.5247067209279122</v>
      </c>
      <c r="Q28" s="8">
        <f t="shared" si="0"/>
        <v>0.17459427886933862</v>
      </c>
      <c r="R28" s="8">
        <f t="shared" si="0"/>
        <v>0.55036535249750496</v>
      </c>
      <c r="S28" s="8">
        <f t="shared" si="0"/>
        <v>0.96556563240254834</v>
      </c>
    </row>
    <row r="29" spans="1:19" x14ac:dyDescent="0.3">
      <c r="A29" s="10"/>
    </row>
    <row r="30" spans="1:19" x14ac:dyDescent="0.3">
      <c r="A30" s="10"/>
    </row>
    <row r="31" spans="1:19" x14ac:dyDescent="0.3">
      <c r="A31" s="10"/>
    </row>
    <row r="32" spans="1:19" x14ac:dyDescent="0.3">
      <c r="A32" s="10"/>
    </row>
    <row r="33" spans="1:1" x14ac:dyDescent="0.3">
      <c r="A33" s="10"/>
    </row>
    <row r="34" spans="1:1" x14ac:dyDescent="0.3">
      <c r="A34" s="10"/>
    </row>
    <row r="35" spans="1:1" x14ac:dyDescent="0.3">
      <c r="A35" s="10"/>
    </row>
    <row r="36" spans="1:1" x14ac:dyDescent="0.3">
      <c r="A36" s="10"/>
    </row>
    <row r="37" spans="1:1" x14ac:dyDescent="0.3">
      <c r="A37" s="10"/>
    </row>
    <row r="38" spans="1:1" x14ac:dyDescent="0.3">
      <c r="A38" s="10"/>
    </row>
    <row r="39" spans="1:1" x14ac:dyDescent="0.3">
      <c r="A39" s="10"/>
    </row>
    <row r="40" spans="1:1" x14ac:dyDescent="0.3">
      <c r="A40" s="10"/>
    </row>
    <row r="41" spans="1:1" x14ac:dyDescent="0.3">
      <c r="A41" s="10"/>
    </row>
    <row r="42" spans="1:1" x14ac:dyDescent="0.3">
      <c r="A42" s="10"/>
    </row>
    <row r="43" spans="1:1" x14ac:dyDescent="0.3">
      <c r="A43" s="10"/>
    </row>
    <row r="44" spans="1:1" x14ac:dyDescent="0.3">
      <c r="A44" s="10"/>
    </row>
    <row r="45" spans="1:1" x14ac:dyDescent="0.3">
      <c r="A45" s="10"/>
    </row>
    <row r="46" spans="1:1" x14ac:dyDescent="0.3">
      <c r="A46" s="10"/>
    </row>
    <row r="47" spans="1:1" x14ac:dyDescent="0.3">
      <c r="A47" s="10"/>
    </row>
    <row r="48" spans="1:1" x14ac:dyDescent="0.3">
      <c r="A48" s="10"/>
    </row>
    <row r="49" spans="1:1" x14ac:dyDescent="0.3">
      <c r="A49" s="10"/>
    </row>
    <row r="50" spans="1:1" x14ac:dyDescent="0.3">
      <c r="A50" s="10"/>
    </row>
    <row r="51" spans="1:1" x14ac:dyDescent="0.3">
      <c r="A51" s="10"/>
    </row>
    <row r="52" spans="1:1" x14ac:dyDescent="0.3">
      <c r="A52" s="10"/>
    </row>
    <row r="53" spans="1:1" x14ac:dyDescent="0.3">
      <c r="A53" s="10"/>
    </row>
    <row r="54" spans="1:1" x14ac:dyDescent="0.3">
      <c r="A54" s="10"/>
    </row>
    <row r="55" spans="1:1" x14ac:dyDescent="0.3">
      <c r="A55" s="10"/>
    </row>
    <row r="56" spans="1:1" x14ac:dyDescent="0.3">
      <c r="A56" s="10"/>
    </row>
    <row r="57" spans="1:1" x14ac:dyDescent="0.3">
      <c r="A57" s="10"/>
    </row>
    <row r="58" spans="1:1" x14ac:dyDescent="0.3">
      <c r="A58" s="10"/>
    </row>
    <row r="59" spans="1:1" x14ac:dyDescent="0.3">
      <c r="A59" s="10"/>
    </row>
    <row r="60" spans="1:1" x14ac:dyDescent="0.3">
      <c r="A60" s="10"/>
    </row>
    <row r="61" spans="1:1" x14ac:dyDescent="0.3">
      <c r="A61" s="10"/>
    </row>
    <row r="62" spans="1:1" x14ac:dyDescent="0.3">
      <c r="A62" s="10"/>
    </row>
    <row r="63" spans="1:1" x14ac:dyDescent="0.3">
      <c r="A63" s="10"/>
    </row>
    <row r="64" spans="1:1" x14ac:dyDescent="0.3">
      <c r="A64" s="10"/>
    </row>
    <row r="65" spans="1:1" x14ac:dyDescent="0.3">
      <c r="A65" s="10"/>
    </row>
    <row r="66" spans="1:1" x14ac:dyDescent="0.3">
      <c r="A66" s="10"/>
    </row>
    <row r="67" spans="1:1" x14ac:dyDescent="0.3">
      <c r="A67" s="10"/>
    </row>
    <row r="68" spans="1:1" x14ac:dyDescent="0.3">
      <c r="A68" s="10"/>
    </row>
    <row r="69" spans="1:1" x14ac:dyDescent="0.3">
      <c r="A69" s="10"/>
    </row>
    <row r="70" spans="1:1" x14ac:dyDescent="0.3">
      <c r="A70" s="10"/>
    </row>
    <row r="71" spans="1:1" x14ac:dyDescent="0.3">
      <c r="A71" s="10"/>
    </row>
    <row r="72" spans="1:1" x14ac:dyDescent="0.3">
      <c r="A72" s="10"/>
    </row>
    <row r="73" spans="1:1" x14ac:dyDescent="0.3">
      <c r="A73" s="10"/>
    </row>
    <row r="74" spans="1:1" x14ac:dyDescent="0.3">
      <c r="A74" s="10"/>
    </row>
    <row r="75" spans="1:1" x14ac:dyDescent="0.3">
      <c r="A75" s="10"/>
    </row>
    <row r="76" spans="1:1" x14ac:dyDescent="0.3">
      <c r="A76" s="10"/>
    </row>
    <row r="77" spans="1:1" x14ac:dyDescent="0.3">
      <c r="A77" s="10"/>
    </row>
    <row r="78" spans="1:1" x14ac:dyDescent="0.3">
      <c r="A78" s="10"/>
    </row>
    <row r="79" spans="1:1" x14ac:dyDescent="0.3">
      <c r="A79" s="10"/>
    </row>
    <row r="80" spans="1:1" x14ac:dyDescent="0.3">
      <c r="A80" s="10"/>
    </row>
    <row r="81" spans="1:1" x14ac:dyDescent="0.3">
      <c r="A81" s="10"/>
    </row>
    <row r="82" spans="1:1" x14ac:dyDescent="0.3">
      <c r="A82" s="10"/>
    </row>
    <row r="83" spans="1:1" x14ac:dyDescent="0.3">
      <c r="A83" s="10"/>
    </row>
    <row r="84" spans="1:1" x14ac:dyDescent="0.3">
      <c r="A84" s="10"/>
    </row>
    <row r="85" spans="1:1" x14ac:dyDescent="0.3">
      <c r="A85" s="10"/>
    </row>
    <row r="86" spans="1:1" x14ac:dyDescent="0.3">
      <c r="A86" s="10"/>
    </row>
    <row r="87" spans="1:1" x14ac:dyDescent="0.3">
      <c r="A87" s="10"/>
    </row>
    <row r="88" spans="1:1" x14ac:dyDescent="0.3">
      <c r="A88" s="10"/>
    </row>
    <row r="89" spans="1:1" x14ac:dyDescent="0.3">
      <c r="A89" s="10"/>
    </row>
    <row r="90" spans="1:1" x14ac:dyDescent="0.3">
      <c r="A90" s="10"/>
    </row>
    <row r="91" spans="1:1" x14ac:dyDescent="0.3">
      <c r="A91" s="10"/>
    </row>
    <row r="92" spans="1:1" x14ac:dyDescent="0.3">
      <c r="A92" s="10"/>
    </row>
    <row r="93" spans="1:1" x14ac:dyDescent="0.3">
      <c r="A93" s="10"/>
    </row>
    <row r="94" spans="1:1" x14ac:dyDescent="0.3">
      <c r="A94" s="10"/>
    </row>
    <row r="95" spans="1:1" x14ac:dyDescent="0.3">
      <c r="A95" s="10"/>
    </row>
    <row r="96" spans="1:1" x14ac:dyDescent="0.3">
      <c r="A96" s="10"/>
    </row>
    <row r="97" spans="1:1" x14ac:dyDescent="0.3">
      <c r="A97" s="10"/>
    </row>
    <row r="98" spans="1:1" x14ac:dyDescent="0.3">
      <c r="A98" s="10"/>
    </row>
    <row r="99" spans="1:1" x14ac:dyDescent="0.3">
      <c r="A99" s="10"/>
    </row>
    <row r="100" spans="1:1" x14ac:dyDescent="0.3">
      <c r="A100" s="10"/>
    </row>
    <row r="101" spans="1:1" x14ac:dyDescent="0.3">
      <c r="A101" s="10"/>
    </row>
    <row r="102" spans="1:1" x14ac:dyDescent="0.3">
      <c r="A102" s="10"/>
    </row>
    <row r="103" spans="1:1" x14ac:dyDescent="0.3">
      <c r="A103" s="10"/>
    </row>
    <row r="104" spans="1:1" x14ac:dyDescent="0.3">
      <c r="A104" s="10"/>
    </row>
    <row r="105" spans="1:1" x14ac:dyDescent="0.3">
      <c r="A105" s="10"/>
    </row>
    <row r="106" spans="1:1" x14ac:dyDescent="0.3">
      <c r="A106" s="10"/>
    </row>
    <row r="107" spans="1:1" x14ac:dyDescent="0.3">
      <c r="A107" s="10"/>
    </row>
    <row r="108" spans="1:1" x14ac:dyDescent="0.3">
      <c r="A108" s="10"/>
    </row>
    <row r="109" spans="1:1" x14ac:dyDescent="0.3">
      <c r="A109" s="10"/>
    </row>
    <row r="110" spans="1:1" x14ac:dyDescent="0.3">
      <c r="A110" s="10"/>
    </row>
    <row r="111" spans="1:1" x14ac:dyDescent="0.3">
      <c r="A111" s="10"/>
    </row>
    <row r="112" spans="1:1" x14ac:dyDescent="0.3">
      <c r="A112" s="10"/>
    </row>
    <row r="113" spans="1:1" x14ac:dyDescent="0.3">
      <c r="A113" s="10"/>
    </row>
    <row r="114" spans="1:1" x14ac:dyDescent="0.3">
      <c r="A114" s="10"/>
    </row>
    <row r="115" spans="1:1" x14ac:dyDescent="0.3">
      <c r="A115" s="10"/>
    </row>
    <row r="116" spans="1:1" x14ac:dyDescent="0.3">
      <c r="A116" s="10"/>
    </row>
    <row r="117" spans="1:1" x14ac:dyDescent="0.3">
      <c r="A117" s="10"/>
    </row>
    <row r="118" spans="1:1" x14ac:dyDescent="0.3">
      <c r="A118" s="10"/>
    </row>
    <row r="119" spans="1:1" x14ac:dyDescent="0.3">
      <c r="A119" s="10"/>
    </row>
    <row r="120" spans="1:1" x14ac:dyDescent="0.3">
      <c r="A120" s="10"/>
    </row>
    <row r="121" spans="1:1" x14ac:dyDescent="0.3">
      <c r="A121" s="10"/>
    </row>
    <row r="122" spans="1:1" x14ac:dyDescent="0.3">
      <c r="A122" s="10"/>
    </row>
    <row r="123" spans="1:1" x14ac:dyDescent="0.3">
      <c r="A123" s="10"/>
    </row>
    <row r="124" spans="1:1" x14ac:dyDescent="0.3">
      <c r="A124" s="10"/>
    </row>
    <row r="125" spans="1:1" x14ac:dyDescent="0.3">
      <c r="A125" s="10"/>
    </row>
    <row r="126" spans="1:1" x14ac:dyDescent="0.3">
      <c r="A126" s="10"/>
    </row>
    <row r="127" spans="1:1" x14ac:dyDescent="0.3">
      <c r="A127" s="10"/>
    </row>
    <row r="128" spans="1:1" x14ac:dyDescent="0.3">
      <c r="A128" s="10"/>
    </row>
    <row r="129" spans="1:1" x14ac:dyDescent="0.3">
      <c r="A129" s="10"/>
    </row>
    <row r="130" spans="1:1" x14ac:dyDescent="0.3">
      <c r="A130" s="10"/>
    </row>
    <row r="131" spans="1:1" x14ac:dyDescent="0.3">
      <c r="A131" s="10"/>
    </row>
    <row r="132" spans="1:1" x14ac:dyDescent="0.3">
      <c r="A132" s="10"/>
    </row>
    <row r="133" spans="1:1" x14ac:dyDescent="0.3">
      <c r="A133" s="10"/>
    </row>
    <row r="134" spans="1:1" x14ac:dyDescent="0.3">
      <c r="A134" s="10"/>
    </row>
    <row r="135" spans="1:1" x14ac:dyDescent="0.3">
      <c r="A135" s="10"/>
    </row>
    <row r="136" spans="1:1" x14ac:dyDescent="0.3">
      <c r="A136" s="10"/>
    </row>
    <row r="137" spans="1:1" x14ac:dyDescent="0.3">
      <c r="A137" s="10"/>
    </row>
    <row r="138" spans="1:1" x14ac:dyDescent="0.3">
      <c r="A138" s="10"/>
    </row>
    <row r="139" spans="1:1" x14ac:dyDescent="0.3">
      <c r="A139" s="10"/>
    </row>
    <row r="140" spans="1:1" x14ac:dyDescent="0.3">
      <c r="A140" s="10"/>
    </row>
    <row r="141" spans="1:1" x14ac:dyDescent="0.3">
      <c r="A141" s="10"/>
    </row>
    <row r="142" spans="1:1" x14ac:dyDescent="0.3">
      <c r="A142" s="10"/>
    </row>
    <row r="143" spans="1:1" x14ac:dyDescent="0.3">
      <c r="A143" s="10"/>
    </row>
    <row r="144" spans="1:1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  <row r="235" spans="1:1" x14ac:dyDescent="0.3">
      <c r="A235" s="10"/>
    </row>
    <row r="236" spans="1:1" x14ac:dyDescent="0.3">
      <c r="A236" s="10"/>
    </row>
    <row r="237" spans="1:1" x14ac:dyDescent="0.3">
      <c r="A237" s="10"/>
    </row>
    <row r="238" spans="1:1" x14ac:dyDescent="0.3">
      <c r="A238" s="10"/>
    </row>
    <row r="239" spans="1:1" x14ac:dyDescent="0.3">
      <c r="A239" s="10"/>
    </row>
    <row r="240" spans="1:1" x14ac:dyDescent="0.3">
      <c r="A240" s="10"/>
    </row>
    <row r="241" spans="1:1" x14ac:dyDescent="0.3">
      <c r="A241" s="10"/>
    </row>
    <row r="242" spans="1:1" x14ac:dyDescent="0.3">
      <c r="A242" s="10"/>
    </row>
    <row r="243" spans="1:1" x14ac:dyDescent="0.3">
      <c r="A243" s="10"/>
    </row>
    <row r="244" spans="1:1" x14ac:dyDescent="0.3">
      <c r="A244" s="10"/>
    </row>
    <row r="245" spans="1:1" x14ac:dyDescent="0.3">
      <c r="A245" s="10"/>
    </row>
    <row r="246" spans="1:1" x14ac:dyDescent="0.3">
      <c r="A246" s="10"/>
    </row>
    <row r="247" spans="1:1" x14ac:dyDescent="0.3">
      <c r="A247" s="10"/>
    </row>
    <row r="248" spans="1:1" x14ac:dyDescent="0.3">
      <c r="A248" s="10"/>
    </row>
    <row r="249" spans="1:1" x14ac:dyDescent="0.3">
      <c r="A249" s="10"/>
    </row>
    <row r="250" spans="1:1" x14ac:dyDescent="0.3">
      <c r="A250" s="10"/>
    </row>
    <row r="251" spans="1:1" x14ac:dyDescent="0.3">
      <c r="A251" s="10"/>
    </row>
    <row r="252" spans="1:1" x14ac:dyDescent="0.3">
      <c r="A252" s="10"/>
    </row>
    <row r="253" spans="1:1" x14ac:dyDescent="0.3">
      <c r="A253" s="10"/>
    </row>
    <row r="254" spans="1:1" x14ac:dyDescent="0.3">
      <c r="A254" s="10"/>
    </row>
    <row r="255" spans="1:1" x14ac:dyDescent="0.3">
      <c r="A255" s="10"/>
    </row>
    <row r="256" spans="1:1" x14ac:dyDescent="0.3">
      <c r="A256" s="10"/>
    </row>
    <row r="257" spans="1:1" x14ac:dyDescent="0.3">
      <c r="A257" s="10"/>
    </row>
    <row r="258" spans="1:1" x14ac:dyDescent="0.3">
      <c r="A258" s="10"/>
    </row>
    <row r="259" spans="1:1" x14ac:dyDescent="0.3">
      <c r="A259" s="10"/>
    </row>
    <row r="260" spans="1:1" x14ac:dyDescent="0.3">
      <c r="A260" s="10"/>
    </row>
    <row r="261" spans="1:1" x14ac:dyDescent="0.3">
      <c r="A261" s="10"/>
    </row>
    <row r="262" spans="1:1" x14ac:dyDescent="0.3">
      <c r="A262" s="10"/>
    </row>
    <row r="263" spans="1:1" x14ac:dyDescent="0.3">
      <c r="A263" s="10"/>
    </row>
    <row r="264" spans="1:1" x14ac:dyDescent="0.3">
      <c r="A264" s="10"/>
    </row>
    <row r="265" spans="1:1" x14ac:dyDescent="0.3">
      <c r="A265" s="10"/>
    </row>
    <row r="266" spans="1:1" x14ac:dyDescent="0.3">
      <c r="A266" s="10"/>
    </row>
    <row r="267" spans="1:1" x14ac:dyDescent="0.3">
      <c r="A267" s="10"/>
    </row>
    <row r="268" spans="1:1" x14ac:dyDescent="0.3">
      <c r="A268" s="10"/>
    </row>
    <row r="269" spans="1:1" x14ac:dyDescent="0.3">
      <c r="A269" s="10"/>
    </row>
    <row r="270" spans="1:1" x14ac:dyDescent="0.3">
      <c r="A270" s="10"/>
    </row>
    <row r="271" spans="1:1" x14ac:dyDescent="0.3">
      <c r="A271" s="10"/>
    </row>
    <row r="272" spans="1:1" x14ac:dyDescent="0.3">
      <c r="A272" s="10"/>
    </row>
    <row r="273" spans="1:1" x14ac:dyDescent="0.3">
      <c r="A273" s="10"/>
    </row>
    <row r="274" spans="1:1" x14ac:dyDescent="0.3">
      <c r="A274" s="10"/>
    </row>
    <row r="275" spans="1:1" x14ac:dyDescent="0.3">
      <c r="A275" s="10"/>
    </row>
    <row r="276" spans="1:1" x14ac:dyDescent="0.3">
      <c r="A276" s="10"/>
    </row>
    <row r="277" spans="1:1" x14ac:dyDescent="0.3">
      <c r="A277" s="10"/>
    </row>
    <row r="278" spans="1:1" x14ac:dyDescent="0.3">
      <c r="A278" s="10"/>
    </row>
    <row r="279" spans="1:1" x14ac:dyDescent="0.3">
      <c r="A279" s="10"/>
    </row>
    <row r="280" spans="1:1" x14ac:dyDescent="0.3">
      <c r="A280" s="10"/>
    </row>
    <row r="281" spans="1:1" x14ac:dyDescent="0.3">
      <c r="A281" s="10"/>
    </row>
    <row r="282" spans="1:1" x14ac:dyDescent="0.3">
      <c r="A282" s="10"/>
    </row>
    <row r="283" spans="1:1" x14ac:dyDescent="0.3">
      <c r="A283" s="10"/>
    </row>
    <row r="284" spans="1:1" x14ac:dyDescent="0.3">
      <c r="A284" s="10"/>
    </row>
    <row r="285" spans="1:1" x14ac:dyDescent="0.3">
      <c r="A285" s="10"/>
    </row>
    <row r="286" spans="1:1" x14ac:dyDescent="0.3">
      <c r="A286" s="10"/>
    </row>
    <row r="287" spans="1:1" x14ac:dyDescent="0.3">
      <c r="A287" s="10"/>
    </row>
    <row r="288" spans="1:1" x14ac:dyDescent="0.3">
      <c r="A288" s="10"/>
    </row>
    <row r="289" spans="1:1" x14ac:dyDescent="0.3">
      <c r="A289" s="10"/>
    </row>
    <row r="290" spans="1:1" x14ac:dyDescent="0.3">
      <c r="A290" s="10"/>
    </row>
    <row r="291" spans="1:1" x14ac:dyDescent="0.3">
      <c r="A291" s="10"/>
    </row>
    <row r="292" spans="1:1" x14ac:dyDescent="0.3">
      <c r="A292" s="10"/>
    </row>
    <row r="293" spans="1:1" x14ac:dyDescent="0.3">
      <c r="A293" s="10"/>
    </row>
    <row r="294" spans="1:1" x14ac:dyDescent="0.3">
      <c r="A294" s="10"/>
    </row>
    <row r="295" spans="1:1" x14ac:dyDescent="0.3">
      <c r="A295" s="10"/>
    </row>
    <row r="296" spans="1:1" x14ac:dyDescent="0.3">
      <c r="A296" s="10"/>
    </row>
    <row r="297" spans="1:1" x14ac:dyDescent="0.3">
      <c r="A297" s="10"/>
    </row>
    <row r="298" spans="1:1" x14ac:dyDescent="0.3">
      <c r="A298" s="10"/>
    </row>
    <row r="299" spans="1:1" x14ac:dyDescent="0.3">
      <c r="A299" s="10"/>
    </row>
    <row r="300" spans="1:1" x14ac:dyDescent="0.3">
      <c r="A300" s="10"/>
    </row>
    <row r="301" spans="1:1" x14ac:dyDescent="0.3">
      <c r="A301" s="10"/>
    </row>
    <row r="302" spans="1:1" x14ac:dyDescent="0.3">
      <c r="A302" s="10"/>
    </row>
    <row r="303" spans="1:1" x14ac:dyDescent="0.3">
      <c r="A303" s="10"/>
    </row>
    <row r="304" spans="1:1" x14ac:dyDescent="0.3">
      <c r="A304" s="10"/>
    </row>
    <row r="305" spans="1:1" x14ac:dyDescent="0.3">
      <c r="A305" s="10"/>
    </row>
    <row r="306" spans="1:1" x14ac:dyDescent="0.3">
      <c r="A306" s="10"/>
    </row>
    <row r="307" spans="1:1" x14ac:dyDescent="0.3">
      <c r="A307" s="10"/>
    </row>
    <row r="308" spans="1:1" x14ac:dyDescent="0.3">
      <c r="A308" s="10"/>
    </row>
    <row r="309" spans="1:1" x14ac:dyDescent="0.3">
      <c r="A309" s="10"/>
    </row>
    <row r="310" spans="1:1" x14ac:dyDescent="0.3">
      <c r="A310" s="10"/>
    </row>
    <row r="311" spans="1:1" x14ac:dyDescent="0.3">
      <c r="A311" s="10"/>
    </row>
    <row r="312" spans="1:1" x14ac:dyDescent="0.3">
      <c r="A312" s="10"/>
    </row>
    <row r="313" spans="1:1" x14ac:dyDescent="0.3">
      <c r="A313" s="10"/>
    </row>
    <row r="314" spans="1:1" x14ac:dyDescent="0.3">
      <c r="A314" s="10"/>
    </row>
    <row r="315" spans="1:1" x14ac:dyDescent="0.3">
      <c r="A315" s="10"/>
    </row>
    <row r="316" spans="1:1" x14ac:dyDescent="0.3">
      <c r="A316" s="10"/>
    </row>
    <row r="317" spans="1:1" x14ac:dyDescent="0.3">
      <c r="A317" s="10"/>
    </row>
    <row r="318" spans="1:1" x14ac:dyDescent="0.3">
      <c r="A318" s="10"/>
    </row>
    <row r="319" spans="1:1" x14ac:dyDescent="0.3">
      <c r="A319" s="10"/>
    </row>
    <row r="320" spans="1:1" x14ac:dyDescent="0.3">
      <c r="A320" s="10"/>
    </row>
    <row r="321" spans="1:1" x14ac:dyDescent="0.3">
      <c r="A321" s="10"/>
    </row>
    <row r="322" spans="1:1" x14ac:dyDescent="0.3">
      <c r="A322" s="10"/>
    </row>
    <row r="323" spans="1:1" x14ac:dyDescent="0.3">
      <c r="A323" s="10"/>
    </row>
    <row r="324" spans="1:1" x14ac:dyDescent="0.3">
      <c r="A324" s="10"/>
    </row>
    <row r="325" spans="1:1" x14ac:dyDescent="0.3">
      <c r="A325" s="10"/>
    </row>
    <row r="326" spans="1:1" x14ac:dyDescent="0.3">
      <c r="A326" s="10"/>
    </row>
    <row r="327" spans="1:1" x14ac:dyDescent="0.3">
      <c r="A327" s="10"/>
    </row>
    <row r="328" spans="1:1" x14ac:dyDescent="0.3">
      <c r="A328" s="10"/>
    </row>
    <row r="329" spans="1:1" x14ac:dyDescent="0.3">
      <c r="A329" s="10"/>
    </row>
    <row r="330" spans="1:1" x14ac:dyDescent="0.3">
      <c r="A330" s="10"/>
    </row>
    <row r="331" spans="1:1" x14ac:dyDescent="0.3">
      <c r="A331" s="10"/>
    </row>
    <row r="332" spans="1:1" x14ac:dyDescent="0.3">
      <c r="A332" s="10"/>
    </row>
    <row r="333" spans="1:1" x14ac:dyDescent="0.3">
      <c r="A333" s="10"/>
    </row>
    <row r="334" spans="1:1" x14ac:dyDescent="0.3">
      <c r="A334" s="10"/>
    </row>
    <row r="335" spans="1:1" x14ac:dyDescent="0.3">
      <c r="A335" s="10"/>
    </row>
    <row r="336" spans="1:1" x14ac:dyDescent="0.3">
      <c r="A336" s="10"/>
    </row>
    <row r="337" spans="1:1" x14ac:dyDescent="0.3">
      <c r="A337" s="10"/>
    </row>
    <row r="338" spans="1:1" x14ac:dyDescent="0.3">
      <c r="A338" s="10"/>
    </row>
    <row r="339" spans="1:1" x14ac:dyDescent="0.3">
      <c r="A339" s="10"/>
    </row>
    <row r="340" spans="1:1" x14ac:dyDescent="0.3">
      <c r="A340" s="10"/>
    </row>
    <row r="341" spans="1:1" x14ac:dyDescent="0.3">
      <c r="A341" s="10"/>
    </row>
    <row r="342" spans="1:1" x14ac:dyDescent="0.3">
      <c r="A342" s="10"/>
    </row>
    <row r="343" spans="1:1" x14ac:dyDescent="0.3">
      <c r="A343" s="10"/>
    </row>
    <row r="344" spans="1:1" x14ac:dyDescent="0.3">
      <c r="A344" s="10"/>
    </row>
    <row r="345" spans="1:1" x14ac:dyDescent="0.3">
      <c r="A345" s="10"/>
    </row>
    <row r="346" spans="1:1" x14ac:dyDescent="0.3">
      <c r="A346" s="10"/>
    </row>
    <row r="347" spans="1:1" x14ac:dyDescent="0.3">
      <c r="A347" s="10"/>
    </row>
    <row r="348" spans="1:1" x14ac:dyDescent="0.3">
      <c r="A348" s="10"/>
    </row>
    <row r="349" spans="1:1" x14ac:dyDescent="0.3">
      <c r="A349" s="10"/>
    </row>
    <row r="350" spans="1:1" x14ac:dyDescent="0.3">
      <c r="A350" s="10"/>
    </row>
    <row r="351" spans="1:1" x14ac:dyDescent="0.3">
      <c r="A351" s="10"/>
    </row>
    <row r="352" spans="1:1" x14ac:dyDescent="0.3">
      <c r="A352" s="10"/>
    </row>
    <row r="353" spans="1:1" x14ac:dyDescent="0.3">
      <c r="A353" s="10"/>
    </row>
    <row r="354" spans="1:1" x14ac:dyDescent="0.3">
      <c r="A354" s="10"/>
    </row>
    <row r="355" spans="1:1" x14ac:dyDescent="0.3">
      <c r="A355" s="10"/>
    </row>
    <row r="356" spans="1:1" x14ac:dyDescent="0.3">
      <c r="A356" s="10"/>
    </row>
    <row r="357" spans="1:1" x14ac:dyDescent="0.3">
      <c r="A357" s="10"/>
    </row>
    <row r="358" spans="1:1" x14ac:dyDescent="0.3">
      <c r="A358" s="10"/>
    </row>
    <row r="359" spans="1:1" x14ac:dyDescent="0.3">
      <c r="A359" s="10"/>
    </row>
    <row r="360" spans="1:1" x14ac:dyDescent="0.3">
      <c r="A360" s="10"/>
    </row>
    <row r="361" spans="1:1" x14ac:dyDescent="0.3">
      <c r="A361" s="10"/>
    </row>
    <row r="362" spans="1:1" x14ac:dyDescent="0.3">
      <c r="A362" s="10"/>
    </row>
    <row r="363" spans="1:1" x14ac:dyDescent="0.3">
      <c r="A363" s="10"/>
    </row>
    <row r="364" spans="1:1" x14ac:dyDescent="0.3">
      <c r="A364" s="10"/>
    </row>
    <row r="365" spans="1:1" x14ac:dyDescent="0.3">
      <c r="A365" s="10"/>
    </row>
    <row r="366" spans="1:1" x14ac:dyDescent="0.3">
      <c r="A366" s="10"/>
    </row>
    <row r="367" spans="1:1" x14ac:dyDescent="0.3">
      <c r="A367" s="10"/>
    </row>
    <row r="368" spans="1:1" x14ac:dyDescent="0.3">
      <c r="A368" s="10"/>
    </row>
    <row r="369" spans="1:1" x14ac:dyDescent="0.3">
      <c r="A369" s="10"/>
    </row>
    <row r="370" spans="1:1" x14ac:dyDescent="0.3">
      <c r="A370" s="10"/>
    </row>
    <row r="371" spans="1:1" x14ac:dyDescent="0.3">
      <c r="A371" s="10"/>
    </row>
    <row r="372" spans="1:1" x14ac:dyDescent="0.3">
      <c r="A372" s="10"/>
    </row>
    <row r="373" spans="1:1" x14ac:dyDescent="0.3">
      <c r="A373" s="10"/>
    </row>
    <row r="374" spans="1:1" x14ac:dyDescent="0.3">
      <c r="A374" s="10"/>
    </row>
    <row r="375" spans="1:1" x14ac:dyDescent="0.3">
      <c r="A375" s="10"/>
    </row>
    <row r="376" spans="1:1" x14ac:dyDescent="0.3">
      <c r="A376" s="10"/>
    </row>
    <row r="377" spans="1:1" x14ac:dyDescent="0.3">
      <c r="A377" s="10"/>
    </row>
    <row r="378" spans="1:1" x14ac:dyDescent="0.3">
      <c r="A378" s="10"/>
    </row>
    <row r="379" spans="1:1" x14ac:dyDescent="0.3">
      <c r="A379" s="10"/>
    </row>
    <row r="380" spans="1:1" x14ac:dyDescent="0.3">
      <c r="A380" s="10"/>
    </row>
    <row r="381" spans="1:1" x14ac:dyDescent="0.3">
      <c r="A381" s="10"/>
    </row>
    <row r="382" spans="1:1" x14ac:dyDescent="0.3">
      <c r="A382" s="10"/>
    </row>
    <row r="383" spans="1:1" x14ac:dyDescent="0.3">
      <c r="A383" s="10"/>
    </row>
    <row r="384" spans="1:1" x14ac:dyDescent="0.3">
      <c r="A384" s="10"/>
    </row>
    <row r="385" spans="1:1" x14ac:dyDescent="0.3">
      <c r="A385" s="10"/>
    </row>
    <row r="386" spans="1:1" x14ac:dyDescent="0.3">
      <c r="A386" s="10"/>
    </row>
    <row r="387" spans="1:1" x14ac:dyDescent="0.3">
      <c r="A387" s="10"/>
    </row>
    <row r="388" spans="1:1" x14ac:dyDescent="0.3">
      <c r="A388" s="10"/>
    </row>
    <row r="389" spans="1:1" x14ac:dyDescent="0.3">
      <c r="A389" s="10"/>
    </row>
    <row r="390" spans="1:1" x14ac:dyDescent="0.3">
      <c r="A390" s="10"/>
    </row>
    <row r="391" spans="1:1" x14ac:dyDescent="0.3">
      <c r="A391" s="10"/>
    </row>
    <row r="392" spans="1:1" x14ac:dyDescent="0.3">
      <c r="A392" s="10"/>
    </row>
    <row r="393" spans="1:1" x14ac:dyDescent="0.3">
      <c r="A393" s="10"/>
    </row>
    <row r="394" spans="1:1" x14ac:dyDescent="0.3">
      <c r="A394" s="10"/>
    </row>
    <row r="395" spans="1:1" x14ac:dyDescent="0.3">
      <c r="A395" s="10"/>
    </row>
    <row r="396" spans="1:1" x14ac:dyDescent="0.3">
      <c r="A396" s="10"/>
    </row>
    <row r="397" spans="1:1" x14ac:dyDescent="0.3">
      <c r="A397" s="10"/>
    </row>
    <row r="398" spans="1:1" x14ac:dyDescent="0.3">
      <c r="A398" s="10"/>
    </row>
    <row r="399" spans="1:1" x14ac:dyDescent="0.3">
      <c r="A399" s="10"/>
    </row>
    <row r="400" spans="1:1" x14ac:dyDescent="0.3">
      <c r="A400" s="10"/>
    </row>
    <row r="401" spans="1:1" x14ac:dyDescent="0.3">
      <c r="A401" s="10"/>
    </row>
    <row r="402" spans="1:1" x14ac:dyDescent="0.3">
      <c r="A402" s="10"/>
    </row>
    <row r="403" spans="1:1" x14ac:dyDescent="0.3">
      <c r="A403" s="10"/>
    </row>
    <row r="404" spans="1:1" x14ac:dyDescent="0.3">
      <c r="A404" s="10"/>
    </row>
    <row r="405" spans="1:1" x14ac:dyDescent="0.3">
      <c r="A405" s="10"/>
    </row>
    <row r="406" spans="1:1" x14ac:dyDescent="0.3">
      <c r="A406" s="10"/>
    </row>
    <row r="407" spans="1:1" x14ac:dyDescent="0.3">
      <c r="A407" s="10"/>
    </row>
    <row r="408" spans="1:1" x14ac:dyDescent="0.3">
      <c r="A408" s="10"/>
    </row>
    <row r="409" spans="1:1" x14ac:dyDescent="0.3">
      <c r="A409" s="10"/>
    </row>
    <row r="410" spans="1:1" x14ac:dyDescent="0.3">
      <c r="A410" s="10"/>
    </row>
    <row r="411" spans="1:1" x14ac:dyDescent="0.3">
      <c r="A411" s="10"/>
    </row>
    <row r="412" spans="1:1" x14ac:dyDescent="0.3">
      <c r="A412" s="10"/>
    </row>
    <row r="413" spans="1:1" x14ac:dyDescent="0.3">
      <c r="A413" s="10"/>
    </row>
    <row r="414" spans="1:1" x14ac:dyDescent="0.3">
      <c r="A414" s="10"/>
    </row>
    <row r="415" spans="1:1" x14ac:dyDescent="0.3">
      <c r="A415" s="10"/>
    </row>
    <row r="416" spans="1:1" x14ac:dyDescent="0.3">
      <c r="A416" s="10"/>
    </row>
    <row r="417" spans="1:1" x14ac:dyDescent="0.3">
      <c r="A417" s="10"/>
    </row>
    <row r="418" spans="1:1" x14ac:dyDescent="0.3">
      <c r="A418" s="10"/>
    </row>
    <row r="419" spans="1:1" x14ac:dyDescent="0.3">
      <c r="A419" s="10"/>
    </row>
    <row r="420" spans="1:1" x14ac:dyDescent="0.3">
      <c r="A420" s="10"/>
    </row>
    <row r="421" spans="1:1" x14ac:dyDescent="0.3">
      <c r="A421" s="10"/>
    </row>
    <row r="422" spans="1:1" x14ac:dyDescent="0.3">
      <c r="A422" s="10"/>
    </row>
    <row r="423" spans="1:1" x14ac:dyDescent="0.3">
      <c r="A423" s="10"/>
    </row>
    <row r="424" spans="1:1" x14ac:dyDescent="0.3">
      <c r="A424" s="10"/>
    </row>
    <row r="425" spans="1:1" x14ac:dyDescent="0.3">
      <c r="A425" s="10"/>
    </row>
    <row r="426" spans="1:1" x14ac:dyDescent="0.3">
      <c r="A426" s="10"/>
    </row>
    <row r="427" spans="1:1" x14ac:dyDescent="0.3">
      <c r="A427" s="10"/>
    </row>
    <row r="428" spans="1:1" x14ac:dyDescent="0.3">
      <c r="A428" s="10"/>
    </row>
    <row r="429" spans="1:1" x14ac:dyDescent="0.3">
      <c r="A429" s="10"/>
    </row>
    <row r="430" spans="1:1" x14ac:dyDescent="0.3">
      <c r="A430" s="10"/>
    </row>
    <row r="431" spans="1:1" x14ac:dyDescent="0.3">
      <c r="A431" s="10"/>
    </row>
    <row r="432" spans="1:1" x14ac:dyDescent="0.3">
      <c r="A432" s="10"/>
    </row>
    <row r="433" spans="1:1" x14ac:dyDescent="0.3">
      <c r="A433" s="10"/>
    </row>
    <row r="434" spans="1:1" x14ac:dyDescent="0.3">
      <c r="A434" s="10"/>
    </row>
    <row r="435" spans="1:1" x14ac:dyDescent="0.3">
      <c r="A435" s="10"/>
    </row>
    <row r="436" spans="1:1" x14ac:dyDescent="0.3">
      <c r="A436" s="10"/>
    </row>
    <row r="437" spans="1:1" x14ac:dyDescent="0.3">
      <c r="A437" s="10"/>
    </row>
    <row r="438" spans="1:1" x14ac:dyDescent="0.3">
      <c r="A438" s="10"/>
    </row>
    <row r="439" spans="1:1" x14ac:dyDescent="0.3">
      <c r="A439" s="10"/>
    </row>
    <row r="440" spans="1:1" x14ac:dyDescent="0.3">
      <c r="A440" s="10"/>
    </row>
    <row r="441" spans="1:1" x14ac:dyDescent="0.3">
      <c r="A441" s="10"/>
    </row>
    <row r="442" spans="1:1" x14ac:dyDescent="0.3">
      <c r="A442" s="10"/>
    </row>
    <row r="443" spans="1:1" x14ac:dyDescent="0.3">
      <c r="A443" s="10"/>
    </row>
    <row r="444" spans="1:1" x14ac:dyDescent="0.3">
      <c r="A444" s="10"/>
    </row>
    <row r="445" spans="1:1" x14ac:dyDescent="0.3">
      <c r="A445" s="10"/>
    </row>
    <row r="446" spans="1:1" x14ac:dyDescent="0.3">
      <c r="A446" s="10"/>
    </row>
    <row r="447" spans="1:1" x14ac:dyDescent="0.3">
      <c r="A447" s="10"/>
    </row>
    <row r="448" spans="1:1" x14ac:dyDescent="0.3">
      <c r="A448" s="10"/>
    </row>
    <row r="449" spans="1:1" x14ac:dyDescent="0.3">
      <c r="A449" s="10"/>
    </row>
    <row r="450" spans="1:1" x14ac:dyDescent="0.3">
      <c r="A450" s="10"/>
    </row>
    <row r="451" spans="1:1" x14ac:dyDescent="0.3">
      <c r="A451" s="10"/>
    </row>
    <row r="452" spans="1:1" x14ac:dyDescent="0.3">
      <c r="A452" s="10"/>
    </row>
    <row r="453" spans="1:1" x14ac:dyDescent="0.3">
      <c r="A453" s="10"/>
    </row>
    <row r="454" spans="1:1" x14ac:dyDescent="0.3">
      <c r="A454" s="10"/>
    </row>
    <row r="455" spans="1:1" x14ac:dyDescent="0.3">
      <c r="A455" s="10"/>
    </row>
    <row r="456" spans="1:1" x14ac:dyDescent="0.3">
      <c r="A456" s="10"/>
    </row>
    <row r="457" spans="1:1" x14ac:dyDescent="0.3">
      <c r="A457" s="10"/>
    </row>
    <row r="458" spans="1:1" x14ac:dyDescent="0.3">
      <c r="A458" s="10"/>
    </row>
    <row r="459" spans="1:1" x14ac:dyDescent="0.3">
      <c r="A459" s="10"/>
    </row>
    <row r="460" spans="1:1" x14ac:dyDescent="0.3">
      <c r="A460" s="10"/>
    </row>
    <row r="461" spans="1:1" x14ac:dyDescent="0.3">
      <c r="A461" s="10"/>
    </row>
    <row r="462" spans="1:1" x14ac:dyDescent="0.3">
      <c r="A462" s="10"/>
    </row>
    <row r="463" spans="1:1" x14ac:dyDescent="0.3">
      <c r="A463" s="10"/>
    </row>
    <row r="464" spans="1:1" x14ac:dyDescent="0.3">
      <c r="A464" s="10"/>
    </row>
    <row r="465" spans="1:1" x14ac:dyDescent="0.3">
      <c r="A465" s="10"/>
    </row>
    <row r="466" spans="1:1" x14ac:dyDescent="0.3">
      <c r="A466" s="10"/>
    </row>
    <row r="467" spans="1:1" x14ac:dyDescent="0.3">
      <c r="A467" s="10"/>
    </row>
    <row r="468" spans="1:1" x14ac:dyDescent="0.3">
      <c r="A468" s="10"/>
    </row>
    <row r="469" spans="1:1" x14ac:dyDescent="0.3">
      <c r="A469" s="10"/>
    </row>
    <row r="470" spans="1:1" x14ac:dyDescent="0.3">
      <c r="A470" s="10"/>
    </row>
    <row r="471" spans="1:1" x14ac:dyDescent="0.3">
      <c r="A471" s="10"/>
    </row>
    <row r="472" spans="1:1" x14ac:dyDescent="0.3">
      <c r="A472" s="10"/>
    </row>
    <row r="473" spans="1:1" x14ac:dyDescent="0.3">
      <c r="A473" s="10"/>
    </row>
    <row r="474" spans="1:1" x14ac:dyDescent="0.3">
      <c r="A474" s="10"/>
    </row>
    <row r="475" spans="1:1" x14ac:dyDescent="0.3">
      <c r="A475" s="10"/>
    </row>
    <row r="476" spans="1:1" x14ac:dyDescent="0.3">
      <c r="A476" s="10"/>
    </row>
    <row r="477" spans="1:1" x14ac:dyDescent="0.3">
      <c r="A477" s="10"/>
    </row>
    <row r="478" spans="1:1" x14ac:dyDescent="0.3">
      <c r="A478" s="10"/>
    </row>
    <row r="479" spans="1:1" x14ac:dyDescent="0.3">
      <c r="A479" s="10"/>
    </row>
    <row r="480" spans="1:1" x14ac:dyDescent="0.3">
      <c r="A480" s="10"/>
    </row>
    <row r="481" spans="1:1" x14ac:dyDescent="0.3">
      <c r="A481" s="10"/>
    </row>
    <row r="482" spans="1:1" x14ac:dyDescent="0.3">
      <c r="A482" s="10"/>
    </row>
    <row r="483" spans="1:1" x14ac:dyDescent="0.3">
      <c r="A483" s="10"/>
    </row>
    <row r="484" spans="1:1" x14ac:dyDescent="0.3">
      <c r="A484" s="10"/>
    </row>
    <row r="485" spans="1:1" x14ac:dyDescent="0.3">
      <c r="A485" s="10"/>
    </row>
    <row r="486" spans="1:1" x14ac:dyDescent="0.3">
      <c r="A486" s="10"/>
    </row>
    <row r="487" spans="1:1" x14ac:dyDescent="0.3">
      <c r="A487" s="10"/>
    </row>
    <row r="488" spans="1:1" x14ac:dyDescent="0.3">
      <c r="A488" s="10"/>
    </row>
    <row r="489" spans="1:1" x14ac:dyDescent="0.3">
      <c r="A489" s="10"/>
    </row>
    <row r="490" spans="1:1" x14ac:dyDescent="0.3">
      <c r="A490" s="10"/>
    </row>
    <row r="491" spans="1:1" x14ac:dyDescent="0.3">
      <c r="A491" s="10"/>
    </row>
    <row r="492" spans="1:1" x14ac:dyDescent="0.3">
      <c r="A492" s="10"/>
    </row>
    <row r="493" spans="1:1" x14ac:dyDescent="0.3">
      <c r="A493" s="10"/>
    </row>
    <row r="494" spans="1:1" x14ac:dyDescent="0.3">
      <c r="A494" s="10"/>
    </row>
    <row r="495" spans="1:1" x14ac:dyDescent="0.3">
      <c r="A495" s="10"/>
    </row>
    <row r="496" spans="1:1" x14ac:dyDescent="0.3">
      <c r="A496" s="10"/>
    </row>
    <row r="497" spans="1:1" x14ac:dyDescent="0.3">
      <c r="A497" s="10"/>
    </row>
    <row r="498" spans="1:1" x14ac:dyDescent="0.3">
      <c r="A498" s="10"/>
    </row>
    <row r="499" spans="1:1" x14ac:dyDescent="0.3">
      <c r="A499" s="10"/>
    </row>
    <row r="500" spans="1:1" x14ac:dyDescent="0.3">
      <c r="A500" s="10"/>
    </row>
    <row r="501" spans="1:1" x14ac:dyDescent="0.3">
      <c r="A501" s="10"/>
    </row>
    <row r="502" spans="1:1" x14ac:dyDescent="0.3">
      <c r="A502" s="10"/>
    </row>
    <row r="503" spans="1:1" x14ac:dyDescent="0.3">
      <c r="A503" s="10"/>
    </row>
    <row r="504" spans="1:1" x14ac:dyDescent="0.3">
      <c r="A504" s="10"/>
    </row>
    <row r="505" spans="1:1" x14ac:dyDescent="0.3">
      <c r="A505" s="10"/>
    </row>
    <row r="506" spans="1:1" x14ac:dyDescent="0.3">
      <c r="A506" s="10"/>
    </row>
    <row r="507" spans="1:1" x14ac:dyDescent="0.3">
      <c r="A507" s="10"/>
    </row>
    <row r="508" spans="1:1" x14ac:dyDescent="0.3">
      <c r="A508" s="10"/>
    </row>
    <row r="509" spans="1:1" x14ac:dyDescent="0.3">
      <c r="A509" s="10"/>
    </row>
    <row r="510" spans="1:1" x14ac:dyDescent="0.3">
      <c r="A510" s="10"/>
    </row>
    <row r="511" spans="1:1" x14ac:dyDescent="0.3">
      <c r="A511" s="10"/>
    </row>
    <row r="512" spans="1:1" x14ac:dyDescent="0.3">
      <c r="A512" s="10"/>
    </row>
    <row r="513" spans="1:1" x14ac:dyDescent="0.3">
      <c r="A513" s="10"/>
    </row>
    <row r="514" spans="1:1" x14ac:dyDescent="0.3">
      <c r="A514" s="10"/>
    </row>
    <row r="515" spans="1:1" x14ac:dyDescent="0.3">
      <c r="A515" s="10"/>
    </row>
    <row r="516" spans="1:1" x14ac:dyDescent="0.3">
      <c r="A516" s="10"/>
    </row>
    <row r="517" spans="1:1" x14ac:dyDescent="0.3">
      <c r="A517" s="10"/>
    </row>
    <row r="518" spans="1:1" x14ac:dyDescent="0.3">
      <c r="A518" s="10"/>
    </row>
    <row r="519" spans="1:1" x14ac:dyDescent="0.3">
      <c r="A519" s="10"/>
    </row>
    <row r="520" spans="1:1" x14ac:dyDescent="0.3">
      <c r="A520" s="10"/>
    </row>
    <row r="521" spans="1:1" x14ac:dyDescent="0.3">
      <c r="A521" s="10"/>
    </row>
    <row r="522" spans="1:1" x14ac:dyDescent="0.3">
      <c r="A522" s="10"/>
    </row>
    <row r="523" spans="1:1" x14ac:dyDescent="0.3">
      <c r="A523" s="10"/>
    </row>
    <row r="524" spans="1:1" x14ac:dyDescent="0.3">
      <c r="A524" s="10"/>
    </row>
    <row r="525" spans="1:1" x14ac:dyDescent="0.3">
      <c r="A525" s="10"/>
    </row>
    <row r="526" spans="1:1" x14ac:dyDescent="0.3">
      <c r="A526" s="10"/>
    </row>
    <row r="527" spans="1:1" x14ac:dyDescent="0.3">
      <c r="A527" s="10"/>
    </row>
    <row r="528" spans="1:1" x14ac:dyDescent="0.3">
      <c r="A528" s="10"/>
    </row>
    <row r="529" spans="1:1" x14ac:dyDescent="0.3">
      <c r="A529" s="10"/>
    </row>
    <row r="530" spans="1:1" x14ac:dyDescent="0.3">
      <c r="A530" s="10"/>
    </row>
    <row r="531" spans="1:1" x14ac:dyDescent="0.3">
      <c r="A531" s="10"/>
    </row>
    <row r="532" spans="1:1" x14ac:dyDescent="0.3">
      <c r="A532" s="10"/>
    </row>
    <row r="533" spans="1:1" x14ac:dyDescent="0.3">
      <c r="A533" s="10"/>
    </row>
    <row r="534" spans="1:1" x14ac:dyDescent="0.3">
      <c r="A534" s="10"/>
    </row>
    <row r="535" spans="1:1" x14ac:dyDescent="0.3">
      <c r="A535" s="10"/>
    </row>
    <row r="536" spans="1:1" x14ac:dyDescent="0.3">
      <c r="A536" s="10"/>
    </row>
    <row r="537" spans="1:1" x14ac:dyDescent="0.3">
      <c r="A537" s="10"/>
    </row>
    <row r="538" spans="1:1" x14ac:dyDescent="0.3">
      <c r="A538" s="10"/>
    </row>
    <row r="539" spans="1:1" x14ac:dyDescent="0.3">
      <c r="A539" s="10"/>
    </row>
    <row r="540" spans="1:1" x14ac:dyDescent="0.3">
      <c r="A540" s="10"/>
    </row>
    <row r="541" spans="1:1" x14ac:dyDescent="0.3">
      <c r="A541" s="10"/>
    </row>
    <row r="542" spans="1:1" x14ac:dyDescent="0.3">
      <c r="A542" s="10"/>
    </row>
    <row r="543" spans="1:1" x14ac:dyDescent="0.3">
      <c r="A543" s="10"/>
    </row>
    <row r="544" spans="1:1" x14ac:dyDescent="0.3">
      <c r="A544" s="10"/>
    </row>
    <row r="545" spans="1:1" x14ac:dyDescent="0.3">
      <c r="A545" s="10"/>
    </row>
    <row r="546" spans="1:1" x14ac:dyDescent="0.3">
      <c r="A546" s="10"/>
    </row>
    <row r="547" spans="1:1" x14ac:dyDescent="0.3">
      <c r="A547" s="10"/>
    </row>
    <row r="548" spans="1:1" x14ac:dyDescent="0.3">
      <c r="A548" s="10"/>
    </row>
    <row r="549" spans="1:1" x14ac:dyDescent="0.3">
      <c r="A549" s="10"/>
    </row>
    <row r="550" spans="1:1" x14ac:dyDescent="0.3">
      <c r="A550" s="10"/>
    </row>
    <row r="551" spans="1:1" x14ac:dyDescent="0.3">
      <c r="A551" s="10"/>
    </row>
    <row r="552" spans="1:1" x14ac:dyDescent="0.3">
      <c r="A552" s="10"/>
    </row>
    <row r="553" spans="1:1" x14ac:dyDescent="0.3">
      <c r="A553" s="10"/>
    </row>
    <row r="554" spans="1:1" x14ac:dyDescent="0.3">
      <c r="A554" s="10"/>
    </row>
    <row r="555" spans="1:1" x14ac:dyDescent="0.3">
      <c r="A555" s="10"/>
    </row>
    <row r="556" spans="1:1" x14ac:dyDescent="0.3">
      <c r="A556" s="10"/>
    </row>
    <row r="557" spans="1:1" x14ac:dyDescent="0.3">
      <c r="A557" s="10"/>
    </row>
    <row r="558" spans="1:1" x14ac:dyDescent="0.3">
      <c r="A558" s="10"/>
    </row>
    <row r="559" spans="1:1" x14ac:dyDescent="0.3">
      <c r="A559" s="10"/>
    </row>
    <row r="560" spans="1:1" x14ac:dyDescent="0.3">
      <c r="A560" s="10"/>
    </row>
    <row r="561" spans="1:1" x14ac:dyDescent="0.3">
      <c r="A561" s="10"/>
    </row>
    <row r="562" spans="1:1" x14ac:dyDescent="0.3">
      <c r="A562" s="10"/>
    </row>
    <row r="563" spans="1:1" x14ac:dyDescent="0.3">
      <c r="A563" s="10"/>
    </row>
    <row r="564" spans="1:1" x14ac:dyDescent="0.3">
      <c r="A564" s="10"/>
    </row>
    <row r="565" spans="1:1" x14ac:dyDescent="0.3">
      <c r="A565" s="10"/>
    </row>
    <row r="566" spans="1:1" x14ac:dyDescent="0.3">
      <c r="A566" s="10"/>
    </row>
    <row r="567" spans="1:1" x14ac:dyDescent="0.3">
      <c r="A567" s="10"/>
    </row>
    <row r="568" spans="1:1" x14ac:dyDescent="0.3">
      <c r="A568" s="10"/>
    </row>
    <row r="569" spans="1:1" x14ac:dyDescent="0.3">
      <c r="A569" s="10"/>
    </row>
    <row r="570" spans="1:1" x14ac:dyDescent="0.3">
      <c r="A570" s="10"/>
    </row>
    <row r="571" spans="1:1" x14ac:dyDescent="0.3">
      <c r="A571" s="10"/>
    </row>
    <row r="572" spans="1:1" x14ac:dyDescent="0.3">
      <c r="A572" s="10"/>
    </row>
    <row r="573" spans="1:1" x14ac:dyDescent="0.3">
      <c r="A573" s="10"/>
    </row>
    <row r="574" spans="1:1" x14ac:dyDescent="0.3">
      <c r="A574" s="10"/>
    </row>
    <row r="575" spans="1:1" x14ac:dyDescent="0.3">
      <c r="A575" s="10"/>
    </row>
    <row r="576" spans="1:1" x14ac:dyDescent="0.3">
      <c r="A576" s="10"/>
    </row>
    <row r="577" spans="1:1" x14ac:dyDescent="0.3">
      <c r="A577" s="10"/>
    </row>
    <row r="578" spans="1:1" x14ac:dyDescent="0.3">
      <c r="A578" s="10"/>
    </row>
    <row r="579" spans="1:1" x14ac:dyDescent="0.3">
      <c r="A579" s="10"/>
    </row>
    <row r="580" spans="1:1" x14ac:dyDescent="0.3">
      <c r="A580" s="10"/>
    </row>
    <row r="581" spans="1:1" x14ac:dyDescent="0.3">
      <c r="A581" s="10"/>
    </row>
    <row r="582" spans="1:1" x14ac:dyDescent="0.3">
      <c r="A582" s="10"/>
    </row>
    <row r="583" spans="1:1" x14ac:dyDescent="0.3">
      <c r="A583" s="10"/>
    </row>
    <row r="584" spans="1:1" x14ac:dyDescent="0.3">
      <c r="A584" s="10"/>
    </row>
    <row r="585" spans="1:1" x14ac:dyDescent="0.3">
      <c r="A585" s="10"/>
    </row>
    <row r="586" spans="1:1" x14ac:dyDescent="0.3">
      <c r="A586" s="10"/>
    </row>
    <row r="587" spans="1:1" x14ac:dyDescent="0.3">
      <c r="A587" s="10"/>
    </row>
    <row r="588" spans="1:1" x14ac:dyDescent="0.3">
      <c r="A588" s="10"/>
    </row>
    <row r="589" spans="1:1" x14ac:dyDescent="0.3">
      <c r="A589" s="10"/>
    </row>
    <row r="590" spans="1:1" x14ac:dyDescent="0.3">
      <c r="A590" s="10"/>
    </row>
    <row r="591" spans="1:1" x14ac:dyDescent="0.3">
      <c r="A591" s="10"/>
    </row>
    <row r="592" spans="1:1" x14ac:dyDescent="0.3">
      <c r="A592" s="10"/>
    </row>
    <row r="593" spans="1:1" x14ac:dyDescent="0.3">
      <c r="A593" s="10"/>
    </row>
    <row r="594" spans="1:1" x14ac:dyDescent="0.3">
      <c r="A594" s="10"/>
    </row>
    <row r="595" spans="1:1" x14ac:dyDescent="0.3">
      <c r="A595" s="10"/>
    </row>
    <row r="596" spans="1:1" x14ac:dyDescent="0.3">
      <c r="A596" s="10"/>
    </row>
    <row r="597" spans="1:1" x14ac:dyDescent="0.3">
      <c r="A597" s="10"/>
    </row>
    <row r="598" spans="1:1" x14ac:dyDescent="0.3">
      <c r="A598" s="10"/>
    </row>
    <row r="599" spans="1:1" x14ac:dyDescent="0.3">
      <c r="A599" s="10"/>
    </row>
    <row r="600" spans="1:1" x14ac:dyDescent="0.3">
      <c r="A600" s="10"/>
    </row>
    <row r="601" spans="1:1" x14ac:dyDescent="0.3">
      <c r="A601" s="10"/>
    </row>
    <row r="602" spans="1:1" x14ac:dyDescent="0.3">
      <c r="A602" s="10"/>
    </row>
    <row r="603" spans="1:1" x14ac:dyDescent="0.3">
      <c r="A603" s="10"/>
    </row>
    <row r="604" spans="1:1" x14ac:dyDescent="0.3">
      <c r="A604" s="10"/>
    </row>
    <row r="605" spans="1:1" x14ac:dyDescent="0.3">
      <c r="A605" s="10"/>
    </row>
    <row r="606" spans="1:1" x14ac:dyDescent="0.3">
      <c r="A606" s="10"/>
    </row>
    <row r="607" spans="1:1" x14ac:dyDescent="0.3">
      <c r="A607" s="10"/>
    </row>
    <row r="608" spans="1:1" x14ac:dyDescent="0.3">
      <c r="A608" s="10"/>
    </row>
    <row r="609" spans="1:1" x14ac:dyDescent="0.3">
      <c r="A609" s="10"/>
    </row>
    <row r="610" spans="1:1" x14ac:dyDescent="0.3">
      <c r="A610" s="10"/>
    </row>
    <row r="611" spans="1:1" x14ac:dyDescent="0.3">
      <c r="A611" s="10"/>
    </row>
    <row r="612" spans="1:1" x14ac:dyDescent="0.3">
      <c r="A612" s="10"/>
    </row>
    <row r="613" spans="1:1" x14ac:dyDescent="0.3">
      <c r="A613" s="10"/>
    </row>
    <row r="614" spans="1:1" x14ac:dyDescent="0.3">
      <c r="A614" s="10"/>
    </row>
    <row r="615" spans="1:1" x14ac:dyDescent="0.3">
      <c r="A615" s="10"/>
    </row>
    <row r="616" spans="1:1" x14ac:dyDescent="0.3">
      <c r="A616" s="10"/>
    </row>
    <row r="617" spans="1:1" x14ac:dyDescent="0.3">
      <c r="A617" s="10"/>
    </row>
    <row r="618" spans="1:1" x14ac:dyDescent="0.3">
      <c r="A618" s="10"/>
    </row>
    <row r="619" spans="1:1" x14ac:dyDescent="0.3">
      <c r="A619" s="10"/>
    </row>
    <row r="620" spans="1:1" x14ac:dyDescent="0.3">
      <c r="A620" s="10"/>
    </row>
    <row r="621" spans="1:1" x14ac:dyDescent="0.3">
      <c r="A621" s="10"/>
    </row>
    <row r="622" spans="1:1" x14ac:dyDescent="0.3">
      <c r="A622" s="10"/>
    </row>
    <row r="623" spans="1:1" x14ac:dyDescent="0.3">
      <c r="A623" s="10"/>
    </row>
    <row r="624" spans="1:1" x14ac:dyDescent="0.3">
      <c r="A624" s="10"/>
    </row>
    <row r="625" spans="1:1" x14ac:dyDescent="0.3">
      <c r="A625" s="10"/>
    </row>
    <row r="626" spans="1:1" x14ac:dyDescent="0.3">
      <c r="A626" s="10"/>
    </row>
    <row r="627" spans="1:1" x14ac:dyDescent="0.3">
      <c r="A627" s="10"/>
    </row>
    <row r="628" spans="1:1" x14ac:dyDescent="0.3">
      <c r="A628" s="10"/>
    </row>
    <row r="629" spans="1:1" x14ac:dyDescent="0.3">
      <c r="A629" s="10"/>
    </row>
    <row r="630" spans="1:1" x14ac:dyDescent="0.3">
      <c r="A630" s="10"/>
    </row>
    <row r="631" spans="1:1" x14ac:dyDescent="0.3">
      <c r="A631" s="10"/>
    </row>
    <row r="632" spans="1:1" x14ac:dyDescent="0.3">
      <c r="A632" s="10"/>
    </row>
    <row r="633" spans="1:1" x14ac:dyDescent="0.3">
      <c r="A633" s="10"/>
    </row>
    <row r="634" spans="1:1" x14ac:dyDescent="0.3">
      <c r="A634" s="10"/>
    </row>
    <row r="635" spans="1:1" x14ac:dyDescent="0.3">
      <c r="A635" s="10"/>
    </row>
    <row r="636" spans="1:1" x14ac:dyDescent="0.3">
      <c r="A636" s="10"/>
    </row>
    <row r="637" spans="1:1" x14ac:dyDescent="0.3">
      <c r="A637" s="10"/>
    </row>
    <row r="638" spans="1:1" x14ac:dyDescent="0.3">
      <c r="A638" s="10"/>
    </row>
    <row r="639" spans="1:1" x14ac:dyDescent="0.3">
      <c r="A639" s="10"/>
    </row>
    <row r="640" spans="1:1" x14ac:dyDescent="0.3">
      <c r="A640" s="10"/>
    </row>
    <row r="641" spans="1:1" x14ac:dyDescent="0.3">
      <c r="A641" s="10"/>
    </row>
    <row r="642" spans="1:1" x14ac:dyDescent="0.3">
      <c r="A642" s="10"/>
    </row>
    <row r="643" spans="1:1" x14ac:dyDescent="0.3">
      <c r="A643" s="10"/>
    </row>
    <row r="644" spans="1:1" x14ac:dyDescent="0.3">
      <c r="A644" s="10"/>
    </row>
    <row r="645" spans="1:1" x14ac:dyDescent="0.3">
      <c r="A645" s="10"/>
    </row>
    <row r="646" spans="1:1" x14ac:dyDescent="0.3">
      <c r="A646" s="10"/>
    </row>
    <row r="647" spans="1:1" x14ac:dyDescent="0.3">
      <c r="A647" s="10"/>
    </row>
    <row r="648" spans="1:1" x14ac:dyDescent="0.3">
      <c r="A648" s="10"/>
    </row>
    <row r="649" spans="1:1" x14ac:dyDescent="0.3">
      <c r="A649" s="10"/>
    </row>
    <row r="650" spans="1:1" x14ac:dyDescent="0.3">
      <c r="A650" s="10"/>
    </row>
    <row r="651" spans="1:1" x14ac:dyDescent="0.3">
      <c r="A651" s="10"/>
    </row>
    <row r="652" spans="1:1" x14ac:dyDescent="0.3">
      <c r="A652" s="10"/>
    </row>
    <row r="653" spans="1:1" x14ac:dyDescent="0.3">
      <c r="A653" s="10"/>
    </row>
    <row r="654" spans="1:1" x14ac:dyDescent="0.3">
      <c r="A654" s="10"/>
    </row>
    <row r="655" spans="1:1" x14ac:dyDescent="0.3">
      <c r="A655" s="10"/>
    </row>
    <row r="656" spans="1:1" x14ac:dyDescent="0.3">
      <c r="A656" s="10"/>
    </row>
    <row r="657" spans="1:1" x14ac:dyDescent="0.3">
      <c r="A657" s="10"/>
    </row>
    <row r="658" spans="1:1" x14ac:dyDescent="0.3">
      <c r="A658" s="10"/>
    </row>
    <row r="659" spans="1:1" x14ac:dyDescent="0.3">
      <c r="A659" s="10"/>
    </row>
    <row r="660" spans="1:1" x14ac:dyDescent="0.3">
      <c r="A660" s="10"/>
    </row>
    <row r="661" spans="1:1" x14ac:dyDescent="0.3">
      <c r="A661" s="10"/>
    </row>
    <row r="662" spans="1:1" x14ac:dyDescent="0.3">
      <c r="A662" s="10"/>
    </row>
    <row r="663" spans="1:1" x14ac:dyDescent="0.3">
      <c r="A663" s="10"/>
    </row>
    <row r="664" spans="1:1" x14ac:dyDescent="0.3">
      <c r="A664" s="10"/>
    </row>
    <row r="665" spans="1:1" x14ac:dyDescent="0.3">
      <c r="A665" s="10"/>
    </row>
    <row r="666" spans="1:1" x14ac:dyDescent="0.3">
      <c r="A666" s="10"/>
    </row>
    <row r="667" spans="1:1" x14ac:dyDescent="0.3">
      <c r="A667" s="10"/>
    </row>
    <row r="668" spans="1:1" x14ac:dyDescent="0.3">
      <c r="A668" s="10"/>
    </row>
    <row r="669" spans="1:1" x14ac:dyDescent="0.3">
      <c r="A669" s="10"/>
    </row>
    <row r="670" spans="1:1" x14ac:dyDescent="0.3">
      <c r="A670" s="10"/>
    </row>
    <row r="671" spans="1:1" x14ac:dyDescent="0.3">
      <c r="A671" s="10"/>
    </row>
    <row r="672" spans="1:1" x14ac:dyDescent="0.3">
      <c r="A672" s="10"/>
    </row>
    <row r="673" spans="1:1" x14ac:dyDescent="0.3">
      <c r="A673" s="10"/>
    </row>
    <row r="674" spans="1:1" x14ac:dyDescent="0.3">
      <c r="A674" s="10"/>
    </row>
    <row r="675" spans="1:1" x14ac:dyDescent="0.3">
      <c r="A675" s="10"/>
    </row>
    <row r="676" spans="1:1" x14ac:dyDescent="0.3">
      <c r="A676" s="10"/>
    </row>
    <row r="677" spans="1:1" x14ac:dyDescent="0.3">
      <c r="A677" s="10"/>
    </row>
    <row r="678" spans="1:1" x14ac:dyDescent="0.3">
      <c r="A678" s="10"/>
    </row>
    <row r="679" spans="1:1" x14ac:dyDescent="0.3">
      <c r="A679" s="10"/>
    </row>
    <row r="680" spans="1:1" x14ac:dyDescent="0.3">
      <c r="A680" s="10"/>
    </row>
    <row r="681" spans="1:1" x14ac:dyDescent="0.3">
      <c r="A681" s="10"/>
    </row>
    <row r="682" spans="1:1" x14ac:dyDescent="0.3">
      <c r="A682" s="10"/>
    </row>
    <row r="683" spans="1:1" x14ac:dyDescent="0.3">
      <c r="A683" s="10"/>
    </row>
    <row r="684" spans="1:1" x14ac:dyDescent="0.3">
      <c r="A684" s="10"/>
    </row>
    <row r="685" spans="1:1" x14ac:dyDescent="0.3">
      <c r="A685" s="10"/>
    </row>
    <row r="686" spans="1:1" x14ac:dyDescent="0.3">
      <c r="A686" s="10"/>
    </row>
    <row r="687" spans="1:1" x14ac:dyDescent="0.3">
      <c r="A687" s="10"/>
    </row>
    <row r="688" spans="1:1" x14ac:dyDescent="0.3">
      <c r="A688" s="10"/>
    </row>
    <row r="689" spans="1:1" x14ac:dyDescent="0.3">
      <c r="A689" s="10"/>
    </row>
    <row r="690" spans="1:1" x14ac:dyDescent="0.3">
      <c r="A690" s="10"/>
    </row>
    <row r="691" spans="1:1" x14ac:dyDescent="0.3">
      <c r="A691" s="10"/>
    </row>
    <row r="692" spans="1:1" x14ac:dyDescent="0.3">
      <c r="A692" s="10"/>
    </row>
    <row r="693" spans="1:1" x14ac:dyDescent="0.3">
      <c r="A693" s="10"/>
    </row>
    <row r="694" spans="1:1" x14ac:dyDescent="0.3">
      <c r="A694" s="10"/>
    </row>
    <row r="695" spans="1:1" x14ac:dyDescent="0.3">
      <c r="A695" s="10"/>
    </row>
    <row r="696" spans="1:1" x14ac:dyDescent="0.3">
      <c r="A696" s="10"/>
    </row>
    <row r="697" spans="1:1" x14ac:dyDescent="0.3">
      <c r="A697" s="10"/>
    </row>
    <row r="698" spans="1:1" x14ac:dyDescent="0.3">
      <c r="A698" s="10"/>
    </row>
    <row r="699" spans="1:1" x14ac:dyDescent="0.3">
      <c r="A699" s="10"/>
    </row>
    <row r="700" spans="1:1" x14ac:dyDescent="0.3">
      <c r="A700" s="10"/>
    </row>
    <row r="701" spans="1:1" x14ac:dyDescent="0.3">
      <c r="A701" s="10"/>
    </row>
    <row r="702" spans="1:1" x14ac:dyDescent="0.3">
      <c r="A702" s="10"/>
    </row>
    <row r="703" spans="1:1" x14ac:dyDescent="0.3">
      <c r="A703" s="10"/>
    </row>
    <row r="704" spans="1:1" x14ac:dyDescent="0.3">
      <c r="A704" s="10"/>
    </row>
    <row r="705" spans="1:1" x14ac:dyDescent="0.3">
      <c r="A705" s="10"/>
    </row>
    <row r="706" spans="1:1" x14ac:dyDescent="0.3">
      <c r="A706" s="10"/>
    </row>
    <row r="707" spans="1:1" x14ac:dyDescent="0.3">
      <c r="A707" s="10"/>
    </row>
    <row r="708" spans="1:1" x14ac:dyDescent="0.3">
      <c r="A708" s="10"/>
    </row>
    <row r="709" spans="1:1" x14ac:dyDescent="0.3">
      <c r="A709" s="10"/>
    </row>
    <row r="710" spans="1:1" x14ac:dyDescent="0.3">
      <c r="A710" s="10"/>
    </row>
    <row r="711" spans="1:1" x14ac:dyDescent="0.3">
      <c r="A711" s="10"/>
    </row>
    <row r="712" spans="1:1" x14ac:dyDescent="0.3">
      <c r="A712" s="10"/>
    </row>
    <row r="713" spans="1:1" x14ac:dyDescent="0.3">
      <c r="A713" s="10"/>
    </row>
    <row r="714" spans="1:1" x14ac:dyDescent="0.3">
      <c r="A714" s="10"/>
    </row>
    <row r="715" spans="1:1" x14ac:dyDescent="0.3">
      <c r="A715" s="10"/>
    </row>
    <row r="716" spans="1:1" x14ac:dyDescent="0.3">
      <c r="A716" s="10"/>
    </row>
    <row r="717" spans="1:1" x14ac:dyDescent="0.3">
      <c r="A717" s="10"/>
    </row>
    <row r="718" spans="1:1" x14ac:dyDescent="0.3">
      <c r="A718" s="10"/>
    </row>
    <row r="719" spans="1:1" x14ac:dyDescent="0.3">
      <c r="A719" s="10"/>
    </row>
    <row r="720" spans="1:1" x14ac:dyDescent="0.3">
      <c r="A720" s="10"/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CFB7-CB95-4988-A752-6A7D60F32F93}">
  <dimension ref="A1:AE26"/>
  <sheetViews>
    <sheetView topLeftCell="C1" workbookViewId="0">
      <selection activeCell="H31" sqref="H31"/>
    </sheetView>
  </sheetViews>
  <sheetFormatPr defaultRowHeight="14.4" x14ac:dyDescent="0.3"/>
  <cols>
    <col min="1" max="1" width="14.6640625" customWidth="1"/>
  </cols>
  <sheetData>
    <row r="1" spans="1:31" ht="22.2" customHeight="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27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2.2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21523.6548</v>
      </c>
      <c r="C3">
        <v>22662.36261652</v>
      </c>
      <c r="D3">
        <v>27175.365000000002</v>
      </c>
      <c r="E3">
        <v>31681.587579840099</v>
      </c>
      <c r="F3">
        <v>33076.225706759898</v>
      </c>
      <c r="G3">
        <v>36782.432999160097</v>
      </c>
      <c r="H3">
        <v>57208.807599999898</v>
      </c>
      <c r="I3">
        <v>59195.453999999998</v>
      </c>
      <c r="J3">
        <v>60057.793200000102</v>
      </c>
      <c r="K3">
        <v>65500.8469999999</v>
      </c>
      <c r="L3">
        <v>92943.000000000306</v>
      </c>
      <c r="M3">
        <v>114631.408</v>
      </c>
      <c r="N3">
        <v>137520.32579999999</v>
      </c>
      <c r="O3">
        <v>188372.13020000001</v>
      </c>
      <c r="P3">
        <v>267546.204800001</v>
      </c>
      <c r="Q3">
        <v>161055.21599999999</v>
      </c>
      <c r="R3">
        <v>244571.17649999901</v>
      </c>
      <c r="S3">
        <v>283837.3455</v>
      </c>
      <c r="T3">
        <v>299082.01280000003</v>
      </c>
      <c r="U3">
        <v>360778.80800000002</v>
      </c>
      <c r="V3">
        <v>396083.76749999903</v>
      </c>
      <c r="W3">
        <v>420691.2426</v>
      </c>
      <c r="X3">
        <v>394464.821400001</v>
      </c>
      <c r="Y3">
        <v>427599.84240000101</v>
      </c>
      <c r="Z3">
        <v>526353.36000000103</v>
      </c>
      <c r="AA3">
        <v>502371.50080000103</v>
      </c>
      <c r="AB3">
        <v>620559.25239999895</v>
      </c>
      <c r="AC3">
        <v>692134.06840000197</v>
      </c>
      <c r="AD3">
        <v>867650.71200000099</v>
      </c>
      <c r="AE3">
        <v>725581.49750000099</v>
      </c>
    </row>
    <row r="4" spans="1:31" x14ac:dyDescent="0.3">
      <c r="A4" s="3" t="s">
        <v>3</v>
      </c>
      <c r="B4">
        <v>3722.3091493041302</v>
      </c>
      <c r="C4">
        <v>4941.1979214148996</v>
      </c>
      <c r="D4">
        <v>5868.35844567803</v>
      </c>
      <c r="E4">
        <v>6454.2632828190599</v>
      </c>
      <c r="F4">
        <v>11501.6227341091</v>
      </c>
      <c r="G4">
        <v>17225.266025368201</v>
      </c>
      <c r="H4">
        <v>28935.795180000001</v>
      </c>
      <c r="I4">
        <v>42698.318749999999</v>
      </c>
      <c r="J4">
        <v>31190.320009633298</v>
      </c>
      <c r="K4">
        <v>30047.485041673401</v>
      </c>
      <c r="L4">
        <v>44150.093062961998</v>
      </c>
      <c r="M4">
        <v>54934.612213052198</v>
      </c>
      <c r="N4">
        <v>63610.769729798303</v>
      </c>
      <c r="O4">
        <v>88108.616999999998</v>
      </c>
      <c r="P4">
        <v>100796.1591</v>
      </c>
      <c r="Q4">
        <v>54860.813999999998</v>
      </c>
      <c r="R4">
        <v>75206.523000000001</v>
      </c>
      <c r="S4">
        <v>87505.065600000002</v>
      </c>
      <c r="T4">
        <v>74039.545800000007</v>
      </c>
      <c r="U4">
        <v>86708.329199999993</v>
      </c>
      <c r="V4">
        <v>101631.39539999999</v>
      </c>
      <c r="W4">
        <v>99761.382899999997</v>
      </c>
      <c r="X4">
        <v>97545.342600000004</v>
      </c>
      <c r="Y4">
        <v>106821.4399</v>
      </c>
      <c r="Z4">
        <v>142346.11629999999</v>
      </c>
      <c r="AA4">
        <v>126840.81</v>
      </c>
      <c r="AB4">
        <v>158578.02059999999</v>
      </c>
      <c r="AC4">
        <v>184369.32079999999</v>
      </c>
      <c r="AD4">
        <v>213787.31080000001</v>
      </c>
      <c r="AE4">
        <v>181068.14920000001</v>
      </c>
    </row>
    <row r="5" spans="1:31" x14ac:dyDescent="0.3">
      <c r="A5" s="3" t="s">
        <v>4</v>
      </c>
      <c r="B5">
        <v>59318.7482691775</v>
      </c>
      <c r="C5">
        <v>59803.690616411499</v>
      </c>
      <c r="D5">
        <v>63766.785653578103</v>
      </c>
      <c r="E5">
        <v>64571.160756131903</v>
      </c>
      <c r="F5">
        <v>64661.430119176599</v>
      </c>
      <c r="G5">
        <v>94141.6361769512</v>
      </c>
      <c r="H5">
        <v>125273.62</v>
      </c>
      <c r="I5">
        <v>124687</v>
      </c>
      <c r="J5">
        <v>110225.95359999999</v>
      </c>
      <c r="K5">
        <v>104970.6752</v>
      </c>
      <c r="L5">
        <v>146643.141</v>
      </c>
      <c r="M5">
        <v>172163.99160000001</v>
      </c>
      <c r="N5">
        <v>204559.98</v>
      </c>
      <c r="O5">
        <v>248209.72200000001</v>
      </c>
      <c r="P5">
        <v>313728.06359999999</v>
      </c>
      <c r="Q5">
        <v>233392.26509999999</v>
      </c>
      <c r="R5">
        <v>261133.2402</v>
      </c>
      <c r="S5">
        <v>260080.6404</v>
      </c>
      <c r="T5">
        <v>219124.5528</v>
      </c>
      <c r="U5">
        <v>257308.0686</v>
      </c>
      <c r="V5">
        <v>312373.04550000001</v>
      </c>
      <c r="W5">
        <v>317052.50219999999</v>
      </c>
      <c r="X5">
        <v>306907.79609999998</v>
      </c>
      <c r="Y5">
        <v>339554.07069999998</v>
      </c>
      <c r="Z5">
        <v>430389.19309999997</v>
      </c>
      <c r="AA5">
        <v>363493.99</v>
      </c>
      <c r="AB5">
        <v>439410.04619999998</v>
      </c>
      <c r="AC5">
        <v>513156.04060000001</v>
      </c>
      <c r="AD5">
        <v>574769.58279999997</v>
      </c>
      <c r="AE5">
        <v>475011.37660000002</v>
      </c>
    </row>
    <row r="6" spans="1:31" x14ac:dyDescent="0.3">
      <c r="A6" s="3" t="s">
        <v>5</v>
      </c>
      <c r="B6">
        <v>69689.521827948905</v>
      </c>
      <c r="C6">
        <v>74056.705664146095</v>
      </c>
      <c r="D6">
        <v>89141.3075994518</v>
      </c>
      <c r="E6">
        <v>117443.81949511199</v>
      </c>
      <c r="F6">
        <v>138738.31527438</v>
      </c>
      <c r="G6">
        <v>155873.51659818701</v>
      </c>
      <c r="H6">
        <v>235440.449663965</v>
      </c>
      <c r="I6">
        <v>239948.02734244801</v>
      </c>
      <c r="J6">
        <v>230766.924912104</v>
      </c>
      <c r="K6">
        <v>203461.210699797</v>
      </c>
      <c r="L6">
        <v>275909.88044735801</v>
      </c>
      <c r="M6">
        <v>319840.20881863602</v>
      </c>
      <c r="N6">
        <v>382600.36715391203</v>
      </c>
      <c r="O6">
        <v>499606.16183284699</v>
      </c>
      <c r="P6">
        <v>608457.25814586901</v>
      </c>
      <c r="Q6">
        <v>359016.77586206899</v>
      </c>
      <c r="R6">
        <v>478116.571836346</v>
      </c>
      <c r="S6">
        <v>580362.94289161498</v>
      </c>
      <c r="T6">
        <v>584147.25532939995</v>
      </c>
      <c r="U6">
        <v>702729.35269876395</v>
      </c>
      <c r="V6">
        <v>857015.11094396398</v>
      </c>
      <c r="W6">
        <v>934684.25739160401</v>
      </c>
      <c r="X6">
        <v>926438.48265896004</v>
      </c>
      <c r="Y6">
        <v>1012797.87815595</v>
      </c>
      <c r="Z6">
        <v>1333310.1586289399</v>
      </c>
      <c r="AA6">
        <v>1200859.17454732</v>
      </c>
      <c r="AB6">
        <v>1370524.1480971</v>
      </c>
      <c r="AC6">
        <v>1588606.2826695701</v>
      </c>
      <c r="AD6">
        <v>2055860.2697240601</v>
      </c>
      <c r="AE6">
        <v>1572584.4350510901</v>
      </c>
    </row>
    <row r="7" spans="1:31" x14ac:dyDescent="0.3">
      <c r="A7" s="3" t="s">
        <v>6</v>
      </c>
      <c r="B7">
        <v>7973.4219269102996</v>
      </c>
      <c r="C7">
        <v>8877.1987506164696</v>
      </c>
      <c r="D7">
        <v>10818.6080057699</v>
      </c>
      <c r="E7">
        <v>16149.3817814787</v>
      </c>
      <c r="F7">
        <v>22414.298271315602</v>
      </c>
      <c r="G7">
        <v>32622.876379863799</v>
      </c>
      <c r="H7">
        <v>50132.318754392603</v>
      </c>
      <c r="I7">
        <v>56480.1446293872</v>
      </c>
      <c r="J7">
        <v>47977.515745056196</v>
      </c>
      <c r="K7">
        <v>35795.8578338144</v>
      </c>
      <c r="L7">
        <v>52117.8300778673</v>
      </c>
      <c r="M7">
        <v>65428.1161602184</v>
      </c>
      <c r="N7">
        <v>88374.156006388293</v>
      </c>
      <c r="O7">
        <v>132046.843536934</v>
      </c>
      <c r="P7">
        <v>156759.40338502199</v>
      </c>
      <c r="Q7">
        <v>85198.773865163006</v>
      </c>
      <c r="R7">
        <v>115037.282518641</v>
      </c>
      <c r="S7">
        <v>136051.342347639</v>
      </c>
      <c r="T7">
        <v>129215.57365636301</v>
      </c>
      <c r="U7">
        <v>161706.80850311901</v>
      </c>
      <c r="V7">
        <v>206434.86614813301</v>
      </c>
      <c r="W7">
        <v>216415.68922142001</v>
      </c>
      <c r="X7">
        <v>211300.73206442199</v>
      </c>
      <c r="Y7">
        <v>231384.556488203</v>
      </c>
      <c r="Z7">
        <v>303430.25597242097</v>
      </c>
      <c r="AA7">
        <v>289992.63735926599</v>
      </c>
      <c r="AB7">
        <v>345591.75541874499</v>
      </c>
      <c r="AC7">
        <v>422701.23481246701</v>
      </c>
      <c r="AD7">
        <v>493882.064256538</v>
      </c>
      <c r="AE7">
        <v>396700.610997963</v>
      </c>
    </row>
    <row r="8" spans="1:31" x14ac:dyDescent="0.3">
      <c r="A8" s="3" t="s">
        <v>7</v>
      </c>
      <c r="B8">
        <v>308.23753133373702</v>
      </c>
      <c r="C8">
        <v>418.493843818519</v>
      </c>
      <c r="D8">
        <v>737.85160372596704</v>
      </c>
      <c r="E8">
        <v>1563.5564934645399</v>
      </c>
      <c r="F8">
        <v>3245.33731805855</v>
      </c>
      <c r="G8">
        <v>5270.8006279434903</v>
      </c>
      <c r="H8">
        <v>13669.592199999999</v>
      </c>
      <c r="I8">
        <v>20263.498500000002</v>
      </c>
      <c r="J8">
        <v>20157.093599999898</v>
      </c>
      <c r="K8">
        <v>22943.123016000001</v>
      </c>
      <c r="L8">
        <v>36081.889199999998</v>
      </c>
      <c r="M8">
        <v>53281.592603999998</v>
      </c>
      <c r="N8">
        <v>64511.245665000002</v>
      </c>
      <c r="O8">
        <v>96258.4764</v>
      </c>
      <c r="P8">
        <v>122329.979016</v>
      </c>
      <c r="Q8">
        <v>63345.507888</v>
      </c>
      <c r="R8">
        <v>103086.09465</v>
      </c>
      <c r="S8">
        <v>131659.420464</v>
      </c>
      <c r="T8">
        <v>113492.78230799999</v>
      </c>
      <c r="U8">
        <v>139731.86183400001</v>
      </c>
      <c r="V8">
        <v>164838.30660000001</v>
      </c>
      <c r="W8">
        <v>169793.09909999999</v>
      </c>
      <c r="X8">
        <v>169585.71030000001</v>
      </c>
      <c r="Y8">
        <v>176148.5428</v>
      </c>
      <c r="Z8">
        <v>222309.44380000001</v>
      </c>
      <c r="AA8">
        <v>208027.035</v>
      </c>
      <c r="AB8">
        <v>242316.25659999999</v>
      </c>
      <c r="AC8">
        <v>280600.95699999999</v>
      </c>
      <c r="AD8">
        <v>320915.41440000001</v>
      </c>
      <c r="AE8">
        <v>280846.446</v>
      </c>
    </row>
    <row r="9" spans="1:31" x14ac:dyDescent="0.3">
      <c r="A9" s="3" t="s">
        <v>8</v>
      </c>
      <c r="B9">
        <v>51965.058095157299</v>
      </c>
      <c r="C9">
        <v>53744.855967078198</v>
      </c>
      <c r="D9">
        <v>58363.265306122397</v>
      </c>
      <c r="E9">
        <v>73519.190376169601</v>
      </c>
      <c r="F9">
        <v>99126.601092166107</v>
      </c>
      <c r="G9">
        <v>143051.528788175</v>
      </c>
      <c r="H9">
        <v>190673.08</v>
      </c>
      <c r="I9">
        <v>210060.375</v>
      </c>
      <c r="J9">
        <v>201747.19599999901</v>
      </c>
      <c r="K9">
        <v>200095.1061</v>
      </c>
      <c r="L9">
        <v>340240.83299999998</v>
      </c>
      <c r="M9">
        <v>442653.8959</v>
      </c>
      <c r="N9">
        <v>524887.46010000003</v>
      </c>
      <c r="O9">
        <v>716800.95600000001</v>
      </c>
      <c r="P9">
        <v>826859.43270000105</v>
      </c>
      <c r="Q9">
        <v>474750.98423369997</v>
      </c>
      <c r="R9">
        <v>646027.60381740006</v>
      </c>
      <c r="S9">
        <v>665773.53817139997</v>
      </c>
      <c r="T9">
        <v>519334.67959860002</v>
      </c>
      <c r="U9">
        <v>652646.48759999999</v>
      </c>
      <c r="V9">
        <v>812303.69099999999</v>
      </c>
      <c r="W9">
        <v>770696.11080000002</v>
      </c>
      <c r="X9">
        <v>748029.43949999998</v>
      </c>
      <c r="Y9">
        <v>753755.07617999997</v>
      </c>
      <c r="Z9">
        <v>954263.70126999996</v>
      </c>
      <c r="AA9">
        <v>786403.51850000001</v>
      </c>
      <c r="AB9">
        <v>912445.25184000004</v>
      </c>
      <c r="AC9">
        <v>1044512.91924</v>
      </c>
      <c r="AD9">
        <v>1182670.4338400001</v>
      </c>
      <c r="AE9">
        <v>926568.53917999996</v>
      </c>
    </row>
    <row r="10" spans="1:31" x14ac:dyDescent="0.3">
      <c r="A10" s="3" t="s">
        <v>9</v>
      </c>
      <c r="B10">
        <v>115203.614667207</v>
      </c>
      <c r="C10">
        <v>145785.12396694199</v>
      </c>
      <c r="D10">
        <v>165971.39867457299</v>
      </c>
      <c r="E10">
        <v>187491.638795987</v>
      </c>
      <c r="F10">
        <v>241387.19937503501</v>
      </c>
      <c r="G10">
        <v>370572.02630005998</v>
      </c>
      <c r="H10">
        <v>507080.89140000002</v>
      </c>
      <c r="I10">
        <v>573062.38249999995</v>
      </c>
      <c r="J10">
        <v>490736.04159999901</v>
      </c>
      <c r="K10">
        <v>437829.10389999999</v>
      </c>
      <c r="L10">
        <v>576236.17200000002</v>
      </c>
      <c r="M10">
        <v>668229.91480000003</v>
      </c>
      <c r="N10">
        <v>771379.87659999996</v>
      </c>
      <c r="O10">
        <v>884233.8</v>
      </c>
      <c r="P10">
        <v>954029.73540000105</v>
      </c>
      <c r="Q10">
        <v>589528.29509999999</v>
      </c>
      <c r="R10">
        <v>707088.25740000105</v>
      </c>
      <c r="S10">
        <v>739717.64760000003</v>
      </c>
      <c r="T10">
        <v>647169.96299999999</v>
      </c>
      <c r="U10">
        <v>747412.39260000002</v>
      </c>
      <c r="V10">
        <v>919610.08290000004</v>
      </c>
      <c r="W10">
        <v>939768.03449999995</v>
      </c>
      <c r="X10">
        <v>952012.6263</v>
      </c>
      <c r="Y10">
        <v>1009044.6037</v>
      </c>
      <c r="Z10">
        <v>1354430.6543000001</v>
      </c>
      <c r="AA10">
        <v>1214344.635</v>
      </c>
      <c r="AB10">
        <v>1492139.199</v>
      </c>
      <c r="AC10">
        <v>1798381.3134000001</v>
      </c>
      <c r="AD10">
        <v>2153346.6891999999</v>
      </c>
      <c r="AE10">
        <v>1798676.909</v>
      </c>
    </row>
    <row r="11" spans="1:31" x14ac:dyDescent="0.3">
      <c r="A11" s="3" t="s">
        <v>10</v>
      </c>
      <c r="B11">
        <v>391.66037735849102</v>
      </c>
      <c r="C11">
        <v>411.84905660377399</v>
      </c>
      <c r="D11">
        <v>510.77358490566002</v>
      </c>
      <c r="E11">
        <v>593.54716981132106</v>
      </c>
      <c r="F11">
        <v>999.33962264150898</v>
      </c>
      <c r="G11">
        <v>1177</v>
      </c>
      <c r="H11">
        <v>1147.2532000000001</v>
      </c>
      <c r="I11">
        <v>1345.5029999999999</v>
      </c>
      <c r="J11">
        <v>2559.29519999999</v>
      </c>
      <c r="K11">
        <v>2596.5812000000001</v>
      </c>
      <c r="L11">
        <v>4386.3990000000003</v>
      </c>
      <c r="M11">
        <v>5649.9907999999996</v>
      </c>
      <c r="N11">
        <v>7837.9268000000002</v>
      </c>
      <c r="O11">
        <v>12810.459000000001</v>
      </c>
      <c r="P11">
        <v>19997.006399999998</v>
      </c>
      <c r="Q11">
        <v>15432.561299999999</v>
      </c>
      <c r="R11">
        <v>13728.918</v>
      </c>
      <c r="S11">
        <v>12246.272999999999</v>
      </c>
      <c r="T11">
        <v>11603.6952</v>
      </c>
      <c r="U11">
        <v>6852.9636</v>
      </c>
      <c r="V11">
        <v>7094.0904</v>
      </c>
      <c r="W11">
        <v>8155.1097</v>
      </c>
      <c r="X11">
        <v>14272.857</v>
      </c>
      <c r="Y11">
        <v>11558.2065</v>
      </c>
      <c r="Z11">
        <v>11402.9444</v>
      </c>
      <c r="AA11">
        <v>9382.1299999999992</v>
      </c>
      <c r="AB11">
        <v>10619.5002</v>
      </c>
      <c r="AC11">
        <v>11993.6754</v>
      </c>
      <c r="AD11">
        <v>15059.0496</v>
      </c>
      <c r="AE11">
        <v>12453.6216</v>
      </c>
    </row>
    <row r="12" spans="1:31" x14ac:dyDescent="0.3">
      <c r="A12" s="3" t="s">
        <v>11</v>
      </c>
      <c r="B12">
        <v>22.057001239157401</v>
      </c>
      <c r="C12">
        <v>47.588330156868501</v>
      </c>
      <c r="D12">
        <v>102.376207266595</v>
      </c>
      <c r="E12">
        <v>182.26939751831401</v>
      </c>
      <c r="F12">
        <v>397.28456636187298</v>
      </c>
      <c r="G12">
        <v>830.04904789382601</v>
      </c>
      <c r="H12">
        <v>1713.1219848380399</v>
      </c>
      <c r="I12">
        <v>2012.44391971665</v>
      </c>
      <c r="J12">
        <v>1754.43419135503</v>
      </c>
      <c r="K12">
        <v>1848.4239265326401</v>
      </c>
      <c r="L12">
        <v>3183.0539512607402</v>
      </c>
      <c r="M12">
        <v>5841.57929226737</v>
      </c>
      <c r="N12">
        <v>9339.4093362972399</v>
      </c>
      <c r="O12">
        <v>13392.576053586399</v>
      </c>
      <c r="P12">
        <v>20630.703314470498</v>
      </c>
      <c r="Q12">
        <v>6706.2862829656697</v>
      </c>
      <c r="R12">
        <v>5893.0024019215398</v>
      </c>
      <c r="S12">
        <v>4935.4976097348999</v>
      </c>
      <c r="T12">
        <v>4678.4125173172497</v>
      </c>
      <c r="U12">
        <v>4983.5801224901197</v>
      </c>
      <c r="V12">
        <v>5904.6127217654703</v>
      </c>
      <c r="W12">
        <v>6051.8439716312096</v>
      </c>
      <c r="X12">
        <v>6294.0196002778002</v>
      </c>
      <c r="Y12">
        <v>7759.8829994681801</v>
      </c>
      <c r="Z12">
        <v>10150.3639149588</v>
      </c>
      <c r="AA12">
        <v>9912.4989254706397</v>
      </c>
      <c r="AB12">
        <v>12999.5706028076</v>
      </c>
      <c r="AC12">
        <v>16021.8772109111</v>
      </c>
      <c r="AD12">
        <v>19863.169197729701</v>
      </c>
      <c r="AE12">
        <v>17384.0537876655</v>
      </c>
    </row>
    <row r="13" spans="1:31" x14ac:dyDescent="0.3">
      <c r="A13" s="3" t="s">
        <v>12</v>
      </c>
      <c r="B13">
        <v>13322.1843999924</v>
      </c>
      <c r="C13">
        <v>14941.5823799913</v>
      </c>
      <c r="D13">
        <v>21132.554300002201</v>
      </c>
      <c r="E13">
        <v>26887.849620022302</v>
      </c>
      <c r="F13">
        <v>39803.457869999998</v>
      </c>
      <c r="G13">
        <v>60785.341500000002</v>
      </c>
      <c r="H13">
        <v>118794.9546</v>
      </c>
      <c r="I13">
        <v>130898.08749999999</v>
      </c>
      <c r="J13">
        <v>133758.42619999999</v>
      </c>
      <c r="K13">
        <v>152856.41459999999</v>
      </c>
      <c r="L13">
        <v>222502.71</v>
      </c>
      <c r="M13">
        <v>304942.86170000001</v>
      </c>
      <c r="N13">
        <v>383154.76299999998</v>
      </c>
      <c r="O13">
        <v>573199.22699999996</v>
      </c>
      <c r="P13">
        <v>649172.54639999999</v>
      </c>
      <c r="Q13">
        <v>427868.42310000001</v>
      </c>
      <c r="R13">
        <v>539873.49360000005</v>
      </c>
      <c r="S13">
        <v>603914.29680000001</v>
      </c>
      <c r="T13">
        <v>563101.3983</v>
      </c>
      <c r="U13">
        <v>660459.97439999995</v>
      </c>
      <c r="V13">
        <v>848083.06140000001</v>
      </c>
      <c r="W13">
        <v>937974.8088</v>
      </c>
      <c r="X13">
        <v>957468.10199999996</v>
      </c>
      <c r="Y13">
        <v>1004338.0472</v>
      </c>
      <c r="Z13">
        <v>1330108.8503</v>
      </c>
      <c r="AA13">
        <v>1253337.6100000001</v>
      </c>
      <c r="AB13">
        <v>1563927.8292</v>
      </c>
      <c r="AC13">
        <v>1913370.4002</v>
      </c>
      <c r="AD13">
        <v>2324135.9736000001</v>
      </c>
      <c r="AE13">
        <v>1912680.45</v>
      </c>
    </row>
    <row r="14" spans="1:31" x14ac:dyDescent="0.3">
      <c r="A14" s="3" t="s">
        <v>13</v>
      </c>
      <c r="B14">
        <v>29894.301825725801</v>
      </c>
      <c r="C14">
        <v>33838.688647466101</v>
      </c>
      <c r="D14">
        <v>41860.026334617003</v>
      </c>
      <c r="E14">
        <v>50700.777435679098</v>
      </c>
      <c r="F14">
        <v>75233.5</v>
      </c>
      <c r="G14">
        <v>103667.59587511601</v>
      </c>
      <c r="H14">
        <v>212734.09599999999</v>
      </c>
      <c r="I14">
        <v>290478.83750000002</v>
      </c>
      <c r="J14">
        <v>243512.00299999901</v>
      </c>
      <c r="K14">
        <v>252384.33679999999</v>
      </c>
      <c r="L14">
        <v>337503.91200000001</v>
      </c>
      <c r="M14">
        <v>411978.04180000001</v>
      </c>
      <c r="N14">
        <v>433434.75670000003</v>
      </c>
      <c r="O14">
        <v>560702.21400000004</v>
      </c>
      <c r="P14">
        <v>606318.24329999997</v>
      </c>
      <c r="Q14">
        <v>330770.90580000001</v>
      </c>
      <c r="R14">
        <v>421376.94059999997</v>
      </c>
      <c r="S14">
        <v>488768.598</v>
      </c>
      <c r="T14">
        <v>450512.68979999999</v>
      </c>
      <c r="U14">
        <v>541104.41159999999</v>
      </c>
      <c r="V14">
        <v>693046.01850000001</v>
      </c>
      <c r="W14">
        <v>736554.40469999996</v>
      </c>
      <c r="X14">
        <v>763567.36589999998</v>
      </c>
      <c r="Y14">
        <v>798964.58189999999</v>
      </c>
      <c r="Z14">
        <v>1039712.7469</v>
      </c>
      <c r="AA14">
        <v>944479.58499999996</v>
      </c>
      <c r="AB14">
        <v>1059669.5179999999</v>
      </c>
      <c r="AC14">
        <v>1253717.0260999999</v>
      </c>
      <c r="AD14">
        <v>1355283.8838</v>
      </c>
      <c r="AE14">
        <v>1113711.7220000001</v>
      </c>
    </row>
    <row r="15" spans="1:31" x14ac:dyDescent="0.3">
      <c r="A15" s="3" t="s">
        <v>14</v>
      </c>
      <c r="B15">
        <v>108620.396687418</v>
      </c>
      <c r="C15">
        <v>119049.762260433</v>
      </c>
      <c r="D15">
        <v>146260.81882719099</v>
      </c>
      <c r="E15">
        <v>155093.26533286599</v>
      </c>
      <c r="F15">
        <v>158793.879026095</v>
      </c>
      <c r="G15">
        <v>209402.353981842</v>
      </c>
      <c r="H15">
        <v>285415.92336103099</v>
      </c>
      <c r="I15">
        <v>262251.75573902798</v>
      </c>
      <c r="J15">
        <v>227351.39281864901</v>
      </c>
      <c r="K15">
        <v>210818.267642461</v>
      </c>
      <c r="L15">
        <v>274458.158815509</v>
      </c>
      <c r="M15">
        <v>364691.26142080099</v>
      </c>
      <c r="N15">
        <v>408574.78376297699</v>
      </c>
      <c r="O15">
        <v>510419.41512251302</v>
      </c>
      <c r="P15">
        <v>573469.44457801396</v>
      </c>
      <c r="Q15">
        <v>394672.96435124002</v>
      </c>
      <c r="R15">
        <v>594036.85713899496</v>
      </c>
      <c r="S15">
        <v>678481.65906894405</v>
      </c>
      <c r="T15">
        <v>665849.04979616299</v>
      </c>
      <c r="U15">
        <v>687169.57342966995</v>
      </c>
      <c r="V15">
        <v>1198712.66237395</v>
      </c>
      <c r="W15">
        <v>1190117.9241676501</v>
      </c>
      <c r="X15">
        <v>1274802.74272144</v>
      </c>
      <c r="Y15">
        <v>1405904.01834915</v>
      </c>
      <c r="Z15">
        <v>1676049.6163329601</v>
      </c>
      <c r="AA15">
        <v>1631753.2299655401</v>
      </c>
      <c r="AB15">
        <v>1904929.1660047099</v>
      </c>
      <c r="AC15">
        <v>2076556.2749304599</v>
      </c>
      <c r="AD15">
        <v>2225639.8103708001</v>
      </c>
      <c r="AE15">
        <v>1838696.8434071401</v>
      </c>
    </row>
    <row r="16" spans="1:31" x14ac:dyDescent="0.3">
      <c r="A16" s="3" t="s">
        <v>15</v>
      </c>
      <c r="B16">
        <v>1785</v>
      </c>
      <c r="C16">
        <v>1878</v>
      </c>
      <c r="D16">
        <v>2212</v>
      </c>
      <c r="E16">
        <v>2361</v>
      </c>
      <c r="F16">
        <v>2946</v>
      </c>
      <c r="G16">
        <v>3322</v>
      </c>
      <c r="H16">
        <v>3381</v>
      </c>
      <c r="I16">
        <v>2855</v>
      </c>
      <c r="J16">
        <v>7882</v>
      </c>
      <c r="K16">
        <v>6922</v>
      </c>
      <c r="L16">
        <v>9418</v>
      </c>
      <c r="M16">
        <v>11752</v>
      </c>
      <c r="N16">
        <v>13508</v>
      </c>
      <c r="O16">
        <v>16612</v>
      </c>
      <c r="P16">
        <v>18193</v>
      </c>
      <c r="Q16">
        <v>10339</v>
      </c>
      <c r="R16">
        <v>14487</v>
      </c>
      <c r="S16">
        <v>21553</v>
      </c>
      <c r="T16">
        <v>19217</v>
      </c>
      <c r="U16">
        <v>29379</v>
      </c>
      <c r="V16">
        <v>37410</v>
      </c>
      <c r="W16">
        <v>41197</v>
      </c>
      <c r="X16">
        <v>39157</v>
      </c>
      <c r="Y16">
        <v>40210</v>
      </c>
      <c r="Z16">
        <v>53015</v>
      </c>
      <c r="AA16">
        <v>41621</v>
      </c>
      <c r="AB16">
        <v>42523.0084855081</v>
      </c>
      <c r="AC16">
        <v>58972.738451445097</v>
      </c>
      <c r="AD16">
        <v>75014.356459746094</v>
      </c>
      <c r="AE16">
        <v>63776.987443908904</v>
      </c>
    </row>
    <row r="17" spans="1:31" x14ac:dyDescent="0.3">
      <c r="A17" s="3" t="s">
        <v>16</v>
      </c>
      <c r="B17">
        <v>59663.352053171198</v>
      </c>
      <c r="C17">
        <v>67258.179217336205</v>
      </c>
      <c r="D17">
        <v>91747.070555971106</v>
      </c>
      <c r="E17">
        <v>107708.763477862</v>
      </c>
      <c r="F17">
        <v>124066.032123736</v>
      </c>
      <c r="G17">
        <v>173149.08936891099</v>
      </c>
      <c r="H17">
        <v>249426.10639999999</v>
      </c>
      <c r="I17">
        <v>253589.16500000001</v>
      </c>
      <c r="J17">
        <v>235023.32139999999</v>
      </c>
      <c r="K17">
        <v>217387.12040000001</v>
      </c>
      <c r="L17">
        <v>355375.36200000002</v>
      </c>
      <c r="M17">
        <v>447177.43</v>
      </c>
      <c r="N17">
        <v>479218.91369999998</v>
      </c>
      <c r="O17">
        <v>566162.49600000004</v>
      </c>
      <c r="P17">
        <v>667373.59080000001</v>
      </c>
      <c r="Q17">
        <v>428919.15659999999</v>
      </c>
      <c r="R17">
        <v>588087.49439999997</v>
      </c>
      <c r="S17">
        <v>648722.42760000005</v>
      </c>
      <c r="T17">
        <v>613952.96219999995</v>
      </c>
      <c r="U17">
        <v>721198.55339999998</v>
      </c>
      <c r="V17">
        <v>833337.72420000006</v>
      </c>
      <c r="W17">
        <v>867512.0871</v>
      </c>
      <c r="X17">
        <v>778820.05290000001</v>
      </c>
      <c r="Y17">
        <v>843027.01599999995</v>
      </c>
      <c r="Z17">
        <v>1013251.3917</v>
      </c>
      <c r="AA17">
        <v>918837.31</v>
      </c>
      <c r="AB17">
        <v>1101720.6268</v>
      </c>
      <c r="AC17">
        <v>1282259.3721</v>
      </c>
      <c r="AD17">
        <v>1370605.6965999999</v>
      </c>
      <c r="AE17">
        <v>1026170.527</v>
      </c>
    </row>
    <row r="18" spans="1:31" x14ac:dyDescent="0.3">
      <c r="A18" s="3" t="s">
        <v>17</v>
      </c>
      <c r="B18">
        <v>630.32637743999999</v>
      </c>
      <c r="C18">
        <v>952.18499999999699</v>
      </c>
      <c r="D18">
        <v>1233.4304</v>
      </c>
      <c r="E18">
        <v>4586.8819999999996</v>
      </c>
      <c r="F18">
        <v>4095.1680000000001</v>
      </c>
      <c r="G18">
        <v>4392.76530000001</v>
      </c>
      <c r="H18">
        <v>4355.3395999999902</v>
      </c>
      <c r="I18">
        <v>6606.9618</v>
      </c>
      <c r="J18">
        <v>11677.212</v>
      </c>
      <c r="K18">
        <v>12851.3385</v>
      </c>
      <c r="L18">
        <v>17876.95</v>
      </c>
      <c r="M18">
        <v>22488.075199999999</v>
      </c>
      <c r="N18">
        <v>25298.337800000001</v>
      </c>
      <c r="O18">
        <v>30079.810800000101</v>
      </c>
      <c r="P18">
        <v>36525.833999999901</v>
      </c>
      <c r="Q18">
        <v>19279.091</v>
      </c>
      <c r="R18">
        <v>29674.138900000002</v>
      </c>
      <c r="S18">
        <v>35093.8946</v>
      </c>
      <c r="T18">
        <v>32018.9768999999</v>
      </c>
      <c r="U18">
        <v>36907.968999999997</v>
      </c>
      <c r="V18">
        <v>44371.179600000003</v>
      </c>
      <c r="W18">
        <v>48082.586399999898</v>
      </c>
      <c r="X18">
        <v>47261.4719999999</v>
      </c>
      <c r="Y18">
        <v>55054.003205351502</v>
      </c>
      <c r="Z18">
        <v>67097.941802696994</v>
      </c>
      <c r="AA18">
        <v>63468.045112781998</v>
      </c>
      <c r="AB18">
        <v>78673.895474137898</v>
      </c>
      <c r="AC18">
        <v>93747.199537471999</v>
      </c>
      <c r="AD18">
        <v>119292.204686753</v>
      </c>
      <c r="AE18">
        <v>93230.915426037405</v>
      </c>
    </row>
    <row r="19" spans="1:31" x14ac:dyDescent="0.3">
      <c r="A19" s="3" t="s">
        <v>18</v>
      </c>
      <c r="B19">
        <v>5092.7992044885796</v>
      </c>
      <c r="C19">
        <v>4918.79429031372</v>
      </c>
      <c r="D19">
        <v>6374.3510025313799</v>
      </c>
      <c r="E19">
        <v>8946.2988622904395</v>
      </c>
      <c r="F19">
        <v>12825.293096478699</v>
      </c>
      <c r="G19">
        <v>25280.131578947399</v>
      </c>
      <c r="H19">
        <v>35166.490453386403</v>
      </c>
      <c r="I19">
        <v>43899.1919534384</v>
      </c>
      <c r="J19">
        <v>41570.753251364898</v>
      </c>
      <c r="K19">
        <v>55418.694000000003</v>
      </c>
      <c r="L19">
        <v>76359.346999999994</v>
      </c>
      <c r="M19">
        <v>99439.735099337806</v>
      </c>
      <c r="N19">
        <v>125958.641063516</v>
      </c>
      <c r="O19">
        <v>174889.93610223601</v>
      </c>
      <c r="P19">
        <v>248248.05914972301</v>
      </c>
      <c r="Q19">
        <v>203333</v>
      </c>
      <c r="R19">
        <v>353413.66782006901</v>
      </c>
      <c r="S19">
        <v>408184.641638225</v>
      </c>
      <c r="T19">
        <v>400423.706176962</v>
      </c>
      <c r="U19">
        <v>501746.67863554799</v>
      </c>
      <c r="V19">
        <v>609636.01973684202</v>
      </c>
      <c r="W19">
        <v>619951.413189771</v>
      </c>
      <c r="X19">
        <v>603395.57321225898</v>
      </c>
      <c r="Y19">
        <v>636158.58468677499</v>
      </c>
      <c r="Z19">
        <v>800869.06211936695</v>
      </c>
      <c r="AA19">
        <v>732211.16225546598</v>
      </c>
      <c r="AB19">
        <v>949179.49886104802</v>
      </c>
      <c r="AC19">
        <v>1091767.52637749</v>
      </c>
      <c r="AD19">
        <v>1207593.08390023</v>
      </c>
      <c r="AE19">
        <v>1037536.81541582</v>
      </c>
    </row>
    <row r="20" spans="1:31" x14ac:dyDescent="0.3">
      <c r="A20" s="3" t="s">
        <v>19</v>
      </c>
      <c r="B20">
        <v>1079.1425474795101</v>
      </c>
      <c r="C20">
        <v>1477.1849790301001</v>
      </c>
      <c r="D20">
        <v>2843.6026532372198</v>
      </c>
      <c r="E20">
        <v>4726.7374925273098</v>
      </c>
      <c r="F20">
        <v>4765.3848997622999</v>
      </c>
      <c r="G20">
        <v>6007.7849678520497</v>
      </c>
      <c r="H20">
        <v>8184.4762000000001</v>
      </c>
      <c r="I20">
        <v>8509.4225000000006</v>
      </c>
      <c r="J20">
        <v>8394.3824999999797</v>
      </c>
      <c r="K20">
        <v>9495.9785000000102</v>
      </c>
      <c r="L20">
        <v>12451.916999999999</v>
      </c>
      <c r="M20">
        <v>18377.4532</v>
      </c>
      <c r="N20">
        <v>26900.699100000002</v>
      </c>
      <c r="O20">
        <v>38887.059000000001</v>
      </c>
      <c r="P20">
        <v>50953.797299999998</v>
      </c>
      <c r="Q20">
        <v>32395.992600000001</v>
      </c>
      <c r="R20">
        <v>38462.579400000002</v>
      </c>
      <c r="S20">
        <v>36391.406999999999</v>
      </c>
      <c r="T20">
        <v>27733.452600000001</v>
      </c>
      <c r="U20">
        <v>28418.5566</v>
      </c>
      <c r="V20">
        <v>33579.705900000001</v>
      </c>
      <c r="W20">
        <v>33149.786399999997</v>
      </c>
      <c r="X20">
        <v>33752.966099999998</v>
      </c>
      <c r="Y20">
        <v>31703.1116</v>
      </c>
      <c r="Z20">
        <v>40369.637300000002</v>
      </c>
      <c r="AA20">
        <v>37102.58</v>
      </c>
      <c r="AB20">
        <v>43890.114600000001</v>
      </c>
      <c r="AC20">
        <v>52215.559200000003</v>
      </c>
      <c r="AD20">
        <v>61996.258800000003</v>
      </c>
      <c r="AE20">
        <v>50966.414400000001</v>
      </c>
    </row>
    <row r="21" spans="1:31" x14ac:dyDescent="0.3">
      <c r="A21" s="3" t="s">
        <v>20</v>
      </c>
      <c r="B21">
        <v>5952.8720680807501</v>
      </c>
      <c r="C21">
        <v>7149.6104963387797</v>
      </c>
      <c r="D21">
        <v>8935.2531325029595</v>
      </c>
      <c r="E21">
        <v>10727.2562179089</v>
      </c>
      <c r="F21">
        <v>22307.4</v>
      </c>
      <c r="G21">
        <v>37805.229312887197</v>
      </c>
      <c r="H21">
        <v>67167.107621855699</v>
      </c>
      <c r="I21">
        <v>90034.710217390399</v>
      </c>
      <c r="J21">
        <v>65741.454799999803</v>
      </c>
      <c r="K21">
        <v>53181.674400000004</v>
      </c>
      <c r="L21">
        <v>80975.982000000004</v>
      </c>
      <c r="M21">
        <v>110302.85799999999</v>
      </c>
      <c r="N21">
        <v>129330.511</v>
      </c>
      <c r="O21">
        <v>187137.79800000001</v>
      </c>
      <c r="P21">
        <v>210239.43359999999</v>
      </c>
      <c r="Q21">
        <v>94831.829700000104</v>
      </c>
      <c r="R21">
        <v>124248.8688</v>
      </c>
      <c r="S21">
        <v>137724.8064</v>
      </c>
      <c r="T21">
        <v>113894.2536</v>
      </c>
      <c r="U21">
        <v>137877.29999999999</v>
      </c>
      <c r="V21">
        <v>191545.9572</v>
      </c>
      <c r="W21">
        <v>212338.80540000001</v>
      </c>
      <c r="X21">
        <v>244479.5607</v>
      </c>
      <c r="Y21">
        <v>246851.24619999999</v>
      </c>
      <c r="Z21">
        <v>355786.7366</v>
      </c>
      <c r="AA21">
        <v>333545.37</v>
      </c>
      <c r="AB21">
        <v>395230.0944</v>
      </c>
      <c r="AC21">
        <v>480940.98430000001</v>
      </c>
      <c r="AD21">
        <v>562072.00419999997</v>
      </c>
      <c r="AE21">
        <v>428175.90399999998</v>
      </c>
    </row>
    <row r="22" spans="1:31" x14ac:dyDescent="0.3">
      <c r="A22" s="3" t="s">
        <v>21</v>
      </c>
      <c r="B22">
        <v>15053.892936713401</v>
      </c>
      <c r="C22">
        <v>18226.898076794201</v>
      </c>
      <c r="D22">
        <v>29737.766964044298</v>
      </c>
      <c r="E22">
        <v>38858.972493086898</v>
      </c>
      <c r="F22">
        <v>51247.937031864902</v>
      </c>
      <c r="G22">
        <v>71207.046272174703</v>
      </c>
      <c r="H22">
        <v>109726.803519062</v>
      </c>
      <c r="I22">
        <v>98469.008914525402</v>
      </c>
      <c r="J22">
        <v>105050.57417389299</v>
      </c>
      <c r="K22">
        <v>94902.322946175598</v>
      </c>
      <c r="L22">
        <v>142560.09013520301</v>
      </c>
      <c r="M22">
        <v>179243.49166994201</v>
      </c>
      <c r="N22">
        <v>202216.40028146401</v>
      </c>
      <c r="O22">
        <v>259638.861371715</v>
      </c>
      <c r="P22">
        <v>311405.29499812901</v>
      </c>
      <c r="Q22">
        <v>184631.27032494301</v>
      </c>
      <c r="R22">
        <v>279631.98201362998</v>
      </c>
      <c r="S22">
        <v>333881.693667377</v>
      </c>
      <c r="T22">
        <v>295771.44765306299</v>
      </c>
      <c r="U22">
        <v>339831.50126835302</v>
      </c>
      <c r="V22">
        <v>433773.62308913702</v>
      </c>
      <c r="W22">
        <v>417196.95990486798</v>
      </c>
      <c r="X22">
        <v>413356.672353331</v>
      </c>
      <c r="Y22">
        <v>416552.603120655</v>
      </c>
      <c r="Z22">
        <v>528877.68031189102</v>
      </c>
      <c r="AA22">
        <v>481630.26730086398</v>
      </c>
      <c r="AB22">
        <v>578584.62464916694</v>
      </c>
      <c r="AC22">
        <v>703487.86870811495</v>
      </c>
      <c r="AD22">
        <v>818710.01648576604</v>
      </c>
      <c r="AE22">
        <v>638114.852358712</v>
      </c>
    </row>
    <row r="23" spans="1:31" x14ac:dyDescent="0.3">
      <c r="A23" s="3" t="s">
        <v>22</v>
      </c>
      <c r="B23">
        <v>88919.161879013205</v>
      </c>
      <c r="C23">
        <v>100796.797560046</v>
      </c>
      <c r="D23">
        <v>120543.242068666</v>
      </c>
      <c r="E23">
        <v>138922.60843731399</v>
      </c>
      <c r="F23">
        <v>165437.77915206499</v>
      </c>
      <c r="G23">
        <v>209630.095895387</v>
      </c>
      <c r="H23">
        <v>259995.03375844</v>
      </c>
      <c r="I23">
        <v>267273.94378246297</v>
      </c>
      <c r="J23">
        <v>243702.65426578399</v>
      </c>
      <c r="K23">
        <v>218272.085376406</v>
      </c>
      <c r="L23">
        <v>293656.20179481001</v>
      </c>
      <c r="M23">
        <v>339470.047720042</v>
      </c>
      <c r="N23">
        <v>357349.11740089802</v>
      </c>
      <c r="O23">
        <v>421497.05154470197</v>
      </c>
      <c r="P23">
        <v>511291.80186583701</v>
      </c>
      <c r="Q23">
        <v>318468.276769766</v>
      </c>
      <c r="R23">
        <v>398894.33187772898</v>
      </c>
      <c r="S23">
        <v>441373.90698169399</v>
      </c>
      <c r="T23">
        <v>425985.63503029</v>
      </c>
      <c r="U23">
        <v>485698.77481998701</v>
      </c>
      <c r="V23">
        <v>573235.59282108804</v>
      </c>
      <c r="W23">
        <v>573919.76573360304</v>
      </c>
      <c r="X23">
        <v>578259.572584679</v>
      </c>
      <c r="Y23">
        <v>616705.12489219103</v>
      </c>
      <c r="Z23">
        <v>743022.20267513802</v>
      </c>
      <c r="AA23">
        <v>676057.35802201799</v>
      </c>
      <c r="AB23">
        <v>794844.95967100398</v>
      </c>
      <c r="AC23">
        <v>945893.63248785096</v>
      </c>
      <c r="AD23">
        <v>1074378.6772902</v>
      </c>
      <c r="AE23">
        <v>908437.08051907504</v>
      </c>
    </row>
    <row r="24" spans="1:31" x14ac:dyDescent="0.3">
      <c r="A24" s="3" t="s">
        <v>23</v>
      </c>
      <c r="B24">
        <v>636.57163455561101</v>
      </c>
      <c r="C24">
        <v>649.79427388363001</v>
      </c>
      <c r="D24">
        <v>840.79820704014503</v>
      </c>
      <c r="E24">
        <v>925.395227204344</v>
      </c>
      <c r="F24">
        <v>1096.51823467228</v>
      </c>
      <c r="G24">
        <v>1338.03800869576</v>
      </c>
      <c r="H24">
        <v>1725.55494302238</v>
      </c>
      <c r="I24">
        <v>1495.50398346528</v>
      </c>
      <c r="J24">
        <v>1271.46661874557</v>
      </c>
      <c r="K24">
        <v>1048.38733959717</v>
      </c>
      <c r="L24">
        <v>1419.1623050119199</v>
      </c>
      <c r="M24">
        <v>1635.35397026492</v>
      </c>
      <c r="N24">
        <v>1779.67408315424</v>
      </c>
      <c r="O24">
        <v>2113.9284080961202</v>
      </c>
      <c r="P24">
        <v>2317.7836569648698</v>
      </c>
      <c r="Q24">
        <v>1308.66367688792</v>
      </c>
      <c r="R24">
        <v>1721.07582950389</v>
      </c>
      <c r="S24">
        <v>1900.41120097467</v>
      </c>
      <c r="T24">
        <v>1721.5762298344</v>
      </c>
      <c r="U24">
        <v>1952.79039523809</v>
      </c>
      <c r="V24">
        <v>2367.9830590716001</v>
      </c>
      <c r="W24">
        <v>2471.2111847881702</v>
      </c>
      <c r="X24">
        <v>2442.5879844456899</v>
      </c>
      <c r="Y24">
        <v>2224.04515575607</v>
      </c>
      <c r="Z24">
        <v>2815.2797318266598</v>
      </c>
      <c r="AA24">
        <v>2354.5072933501701</v>
      </c>
      <c r="AB24">
        <v>2950.2904588226202</v>
      </c>
      <c r="AC24">
        <v>3657.55407241681</v>
      </c>
      <c r="AD24">
        <v>4277.0384250155503</v>
      </c>
      <c r="AE24">
        <v>3224.8327221343102</v>
      </c>
    </row>
    <row r="25" spans="1:31" x14ac:dyDescent="0.3">
      <c r="A25" s="3" t="s">
        <v>24</v>
      </c>
      <c r="B25">
        <v>287395.7548</v>
      </c>
      <c r="C25">
        <v>291917.1875</v>
      </c>
      <c r="D25">
        <v>336303.5</v>
      </c>
      <c r="E25">
        <v>404674.152</v>
      </c>
      <c r="F25">
        <v>466938.85340000002</v>
      </c>
      <c r="G25">
        <v>505148.391</v>
      </c>
      <c r="H25">
        <v>675262.41480000096</v>
      </c>
      <c r="I25">
        <v>617132.13840000005</v>
      </c>
      <c r="J25">
        <v>585288.61439999996</v>
      </c>
      <c r="K25">
        <v>577640.10759999999</v>
      </c>
      <c r="L25">
        <v>753141.61529999902</v>
      </c>
      <c r="M25">
        <v>997195.33979999903</v>
      </c>
      <c r="N25">
        <v>1244888.9306000001</v>
      </c>
      <c r="O25">
        <v>1645798.83</v>
      </c>
      <c r="P25">
        <v>1872035.0586000001</v>
      </c>
      <c r="Q25">
        <v>1051094.2091999999</v>
      </c>
      <c r="R25">
        <v>1420358.1825000001</v>
      </c>
      <c r="S25">
        <v>1549605.4785</v>
      </c>
      <c r="T25">
        <v>1383795.0603</v>
      </c>
      <c r="U25">
        <v>1682361.03</v>
      </c>
      <c r="V25">
        <v>1991738.7279999999</v>
      </c>
      <c r="W25">
        <v>2034485.6311999999</v>
      </c>
      <c r="X25">
        <v>1956570.3528</v>
      </c>
      <c r="Y25">
        <v>1880615.3514</v>
      </c>
      <c r="Z25">
        <v>2420312.2927000001</v>
      </c>
      <c r="AA25">
        <v>2024449.821</v>
      </c>
      <c r="AB25">
        <v>2407998.63325</v>
      </c>
      <c r="AC25">
        <v>2700934.6979999999</v>
      </c>
      <c r="AD25">
        <v>3009676.7862</v>
      </c>
      <c r="AE25">
        <v>2281850.0236</v>
      </c>
    </row>
    <row r="26" spans="1:31" x14ac:dyDescent="0.3">
      <c r="A26" s="3" t="s">
        <v>25</v>
      </c>
      <c r="B26">
        <v>543862</v>
      </c>
      <c r="C26">
        <v>626762</v>
      </c>
      <c r="D26">
        <v>790615</v>
      </c>
      <c r="E26">
        <v>1006135</v>
      </c>
      <c r="F26">
        <v>1207787</v>
      </c>
      <c r="G26">
        <v>1474983</v>
      </c>
      <c r="H26">
        <v>2003716</v>
      </c>
      <c r="I26">
        <v>1852842</v>
      </c>
      <c r="J26">
        <v>1612673</v>
      </c>
      <c r="K26">
        <v>1373980</v>
      </c>
      <c r="L26">
        <v>2079422</v>
      </c>
      <c r="M26">
        <v>2560418</v>
      </c>
      <c r="N26">
        <v>3317705</v>
      </c>
      <c r="O26">
        <v>4328960</v>
      </c>
      <c r="P26">
        <v>5247990</v>
      </c>
      <c r="Q26">
        <v>2748428</v>
      </c>
      <c r="R26">
        <v>3995295</v>
      </c>
      <c r="S26">
        <v>4900246</v>
      </c>
      <c r="T26">
        <v>4501438</v>
      </c>
      <c r="U26">
        <v>5321857</v>
      </c>
      <c r="V26">
        <v>6472877</v>
      </c>
      <c r="W26">
        <v>6770629</v>
      </c>
      <c r="X26">
        <v>6756163</v>
      </c>
      <c r="Y26">
        <v>7146320</v>
      </c>
      <c r="Z26">
        <v>9118138</v>
      </c>
      <c r="AA26">
        <v>7899563</v>
      </c>
      <c r="AB26">
        <v>9478014</v>
      </c>
      <c r="AC26">
        <v>10615016</v>
      </c>
      <c r="AD26">
        <v>12061294</v>
      </c>
      <c r="AE26">
        <v>10305962</v>
      </c>
    </row>
  </sheetData>
  <mergeCells count="10">
    <mergeCell ref="AC1:AE1"/>
    <mergeCell ref="B1:D1"/>
    <mergeCell ref="E1:G1"/>
    <mergeCell ref="H1:J1"/>
    <mergeCell ref="K1:M1"/>
    <mergeCell ref="N1:P1"/>
    <mergeCell ref="Q1:S1"/>
    <mergeCell ref="T1:V1"/>
    <mergeCell ref="W1:Y1"/>
    <mergeCell ref="Z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3B0B-DDED-4C9A-B43C-B5DE8A27E64D}">
  <dimension ref="A1:AE26"/>
  <sheetViews>
    <sheetView topLeftCell="C1" workbookViewId="0">
      <selection sqref="A1:AE26"/>
    </sheetView>
  </sheetViews>
  <sheetFormatPr defaultRowHeight="14.4" x14ac:dyDescent="0.3"/>
  <cols>
    <col min="1" max="1" width="14.6640625" bestFit="1" customWidth="1"/>
  </cols>
  <sheetData>
    <row r="1" spans="1:3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28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1.8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26138.768400000001</v>
      </c>
      <c r="C3">
        <v>28053.35447772</v>
      </c>
      <c r="D3">
        <v>33098.114999999998</v>
      </c>
      <c r="E3">
        <v>41645.803705740203</v>
      </c>
      <c r="F3">
        <v>46181.136507539901</v>
      </c>
      <c r="G3">
        <v>48065.915182960103</v>
      </c>
      <c r="H3">
        <v>56233.991799999902</v>
      </c>
      <c r="I3">
        <v>58248.114000000001</v>
      </c>
      <c r="J3">
        <v>58008.244800000102</v>
      </c>
      <c r="K3">
        <v>72792.370599999893</v>
      </c>
      <c r="L3">
        <v>99926.250000000306</v>
      </c>
      <c r="M3">
        <v>127040.099</v>
      </c>
      <c r="N3">
        <v>157851.88649999999</v>
      </c>
      <c r="O3">
        <v>217230.8412</v>
      </c>
      <c r="P3">
        <v>277487.126400001</v>
      </c>
      <c r="Q3">
        <v>255428.43200000099</v>
      </c>
      <c r="R3">
        <v>348938.94499999902</v>
      </c>
      <c r="S3">
        <v>427494.39939999999</v>
      </c>
      <c r="T3">
        <v>460154.14159999997</v>
      </c>
      <c r="U3">
        <v>514079.83500000002</v>
      </c>
      <c r="V3">
        <v>512353.56149999902</v>
      </c>
      <c r="W3">
        <v>527894.66339999996</v>
      </c>
      <c r="X3">
        <v>562039.62100000202</v>
      </c>
      <c r="Y3">
        <v>562939.81560000102</v>
      </c>
      <c r="Z3">
        <v>597499.50000000105</v>
      </c>
      <c r="AA3">
        <v>580068.78800000099</v>
      </c>
      <c r="AB3">
        <v>589035.75539999898</v>
      </c>
      <c r="AC3">
        <v>640523.73660000204</v>
      </c>
      <c r="AD3">
        <v>636264.85360000096</v>
      </c>
      <c r="AE3">
        <v>629815.51750000101</v>
      </c>
    </row>
    <row r="4" spans="1:31" x14ac:dyDescent="0.3">
      <c r="A4" s="3" t="s">
        <v>3</v>
      </c>
      <c r="B4">
        <v>88487.194268302701</v>
      </c>
      <c r="C4">
        <v>99772.084966724404</v>
      </c>
      <c r="D4">
        <v>116574.147501983</v>
      </c>
      <c r="E4">
        <v>116578.418842432</v>
      </c>
      <c r="F4">
        <v>117402.200585767</v>
      </c>
      <c r="G4">
        <v>132481.68894185801</v>
      </c>
      <c r="H4">
        <v>157599.03604000001</v>
      </c>
      <c r="I4">
        <v>174967.12580000001</v>
      </c>
      <c r="J4">
        <v>191173.720063432</v>
      </c>
      <c r="K4">
        <v>247000.38230530801</v>
      </c>
      <c r="L4">
        <v>327260.91466694401</v>
      </c>
      <c r="M4">
        <v>409582.11436044</v>
      </c>
      <c r="N4">
        <v>428661.97192805202</v>
      </c>
      <c r="O4">
        <v>575513.196</v>
      </c>
      <c r="P4">
        <v>701683.82550000097</v>
      </c>
      <c r="Q4">
        <v>694587.72809999995</v>
      </c>
      <c r="R4">
        <v>699033.86280000105</v>
      </c>
      <c r="S4">
        <v>636132.75120000006</v>
      </c>
      <c r="T4">
        <v>635403.23640000005</v>
      </c>
      <c r="U4">
        <v>641996.29079999996</v>
      </c>
      <c r="V4">
        <v>655497.26280000003</v>
      </c>
      <c r="W4">
        <v>576676.86029999994</v>
      </c>
      <c r="X4">
        <v>495064.55099999998</v>
      </c>
      <c r="Y4">
        <v>464116.01360000001</v>
      </c>
      <c r="Z4">
        <v>522925.98180000001</v>
      </c>
      <c r="AA4">
        <v>499839.44500000001</v>
      </c>
      <c r="AB4">
        <v>520661.07459999999</v>
      </c>
      <c r="AC4">
        <v>571165.96600000001</v>
      </c>
      <c r="AD4">
        <v>542522.19559999998</v>
      </c>
      <c r="AE4">
        <v>512408.50579999998</v>
      </c>
    </row>
    <row r="5" spans="1:31" x14ac:dyDescent="0.3">
      <c r="A5" s="3" t="s">
        <v>4</v>
      </c>
      <c r="B5">
        <v>324619.21905289398</v>
      </c>
      <c r="C5">
        <v>380651.74715351401</v>
      </c>
      <c r="D5">
        <v>433460.58133605297</v>
      </c>
      <c r="E5">
        <v>433144.66489611001</v>
      </c>
      <c r="F5">
        <v>425554.63163597003</v>
      </c>
      <c r="G5">
        <v>450961.749266078</v>
      </c>
      <c r="H5">
        <v>468771.47499999998</v>
      </c>
      <c r="I5">
        <v>436784.14399999997</v>
      </c>
      <c r="J5">
        <v>459931.96269999899</v>
      </c>
      <c r="K5">
        <v>575445.8101</v>
      </c>
      <c r="L5">
        <v>768175.54500000004</v>
      </c>
      <c r="M5">
        <v>943412.25360000005</v>
      </c>
      <c r="N5">
        <v>959219.96849999996</v>
      </c>
      <c r="O5">
        <v>1138815.1680000001</v>
      </c>
      <c r="P5">
        <v>1479354.5088</v>
      </c>
      <c r="Q5">
        <v>1400217.2039999999</v>
      </c>
      <c r="R5">
        <v>1366985.34</v>
      </c>
      <c r="S5">
        <v>1225052.2116</v>
      </c>
      <c r="T5">
        <v>1229933.4657000001</v>
      </c>
      <c r="U5">
        <v>1158856.7274</v>
      </c>
      <c r="V5">
        <v>1066158.7653000001</v>
      </c>
      <c r="W5">
        <v>983476.84860000003</v>
      </c>
      <c r="X5">
        <v>880277.09459999995</v>
      </c>
      <c r="Y5">
        <v>899150.46230000001</v>
      </c>
      <c r="Z5">
        <v>948834.59010000003</v>
      </c>
      <c r="AA5">
        <v>853568.875</v>
      </c>
      <c r="AB5">
        <v>886542.34400000004</v>
      </c>
      <c r="AC5">
        <v>984818.92180000001</v>
      </c>
      <c r="AD5">
        <v>936878.79180000105</v>
      </c>
      <c r="AE5">
        <v>884435.38600000006</v>
      </c>
    </row>
    <row r="6" spans="1:31" x14ac:dyDescent="0.3">
      <c r="A6" s="3" t="s">
        <v>5</v>
      </c>
      <c r="B6">
        <v>100141.66270174801</v>
      </c>
      <c r="C6">
        <v>117441.25621665</v>
      </c>
      <c r="D6">
        <v>136800.222230643</v>
      </c>
      <c r="E6">
        <v>152605.29123441401</v>
      </c>
      <c r="F6">
        <v>163079.886491135</v>
      </c>
      <c r="G6">
        <v>160368.16271656501</v>
      </c>
      <c r="H6">
        <v>150871.175897596</v>
      </c>
      <c r="I6">
        <v>154029.39750262501</v>
      </c>
      <c r="J6">
        <v>159645.58762150901</v>
      </c>
      <c r="K6">
        <v>165005.06231276999</v>
      </c>
      <c r="L6">
        <v>193738.68251032699</v>
      </c>
      <c r="M6">
        <v>227670.362500599</v>
      </c>
      <c r="N6">
        <v>272482.52774722798</v>
      </c>
      <c r="O6">
        <v>352961.73012126097</v>
      </c>
      <c r="P6">
        <v>448896.77397708601</v>
      </c>
      <c r="Q6">
        <v>431263.48568678199</v>
      </c>
      <c r="R6">
        <v>502999.98013401899</v>
      </c>
      <c r="S6">
        <v>563581.23979272798</v>
      </c>
      <c r="T6">
        <v>602639.26063066896</v>
      </c>
      <c r="U6">
        <v>667458.87494501995</v>
      </c>
      <c r="V6">
        <v>669767.20328986505</v>
      </c>
      <c r="W6">
        <v>733082.75865511596</v>
      </c>
      <c r="X6">
        <v>768649.77649580897</v>
      </c>
      <c r="Y6">
        <v>856410.86024331604</v>
      </c>
      <c r="Z6">
        <v>940679.25727955403</v>
      </c>
      <c r="AA6">
        <v>1018184.00497903</v>
      </c>
      <c r="AB6">
        <v>1287955.81908033</v>
      </c>
      <c r="AC6">
        <v>1410389.79947161</v>
      </c>
      <c r="AD6">
        <v>1468070.60812553</v>
      </c>
      <c r="AE6">
        <v>1619566.3348417999</v>
      </c>
    </row>
    <row r="7" spans="1:31" x14ac:dyDescent="0.3">
      <c r="A7" s="3" t="s">
        <v>6</v>
      </c>
      <c r="B7">
        <v>77076.4119601329</v>
      </c>
      <c r="C7">
        <v>71181.982574387599</v>
      </c>
      <c r="D7">
        <v>75549.945906959998</v>
      </c>
      <c r="E7">
        <v>87307.595256119093</v>
      </c>
      <c r="F7">
        <v>86580.720773513094</v>
      </c>
      <c r="G7">
        <v>101591.638612699</v>
      </c>
      <c r="H7">
        <v>92683.948748445706</v>
      </c>
      <c r="I7">
        <v>97502.150738732002</v>
      </c>
      <c r="J7">
        <v>97689.7150703566</v>
      </c>
      <c r="K7">
        <v>127061.194512948</v>
      </c>
      <c r="L7">
        <v>176731.08639960099</v>
      </c>
      <c r="M7">
        <v>220596.33305307999</v>
      </c>
      <c r="N7">
        <v>232955.36123717201</v>
      </c>
      <c r="O7">
        <v>280065.17822446697</v>
      </c>
      <c r="P7">
        <v>369626.42602407699</v>
      </c>
      <c r="Q7">
        <v>372857.95379288198</v>
      </c>
      <c r="R7">
        <v>364452.130016763</v>
      </c>
      <c r="S7">
        <v>381430.53106016101</v>
      </c>
      <c r="T7">
        <v>360886.243386243</v>
      </c>
      <c r="U7">
        <v>386395.3632203</v>
      </c>
      <c r="V7">
        <v>415542.88987011998</v>
      </c>
      <c r="W7">
        <v>397260.75734309101</v>
      </c>
      <c r="X7">
        <v>346554.319180088</v>
      </c>
      <c r="Y7">
        <v>368323.219147005</v>
      </c>
      <c r="Z7">
        <v>430470.38355590601</v>
      </c>
      <c r="AA7">
        <v>373999.90796699101</v>
      </c>
      <c r="AB7">
        <v>411131.98220464698</v>
      </c>
      <c r="AC7">
        <v>491106.04860010598</v>
      </c>
      <c r="AD7">
        <v>463041.51679570798</v>
      </c>
      <c r="AE7">
        <v>404780.70049625699</v>
      </c>
    </row>
    <row r="8" spans="1:31" x14ac:dyDescent="0.3">
      <c r="A8" s="3" t="s">
        <v>7</v>
      </c>
      <c r="B8">
        <v>25487.0775347913</v>
      </c>
      <c r="C8">
        <v>27393.320964749499</v>
      </c>
      <c r="D8">
        <v>30987.9319047401</v>
      </c>
      <c r="E8">
        <v>38321.884622838501</v>
      </c>
      <c r="F8">
        <v>37798.8082719944</v>
      </c>
      <c r="G8">
        <v>41238.422291993702</v>
      </c>
      <c r="H8">
        <v>50299.3174</v>
      </c>
      <c r="I8">
        <v>64498.538</v>
      </c>
      <c r="J8">
        <v>78155.446599999806</v>
      </c>
      <c r="K8">
        <v>100101.110159</v>
      </c>
      <c r="L8">
        <v>137628.61743000001</v>
      </c>
      <c r="M8">
        <v>179332.519585</v>
      </c>
      <c r="N8">
        <v>170366.705816</v>
      </c>
      <c r="O8">
        <v>221463.40116000001</v>
      </c>
      <c r="P8">
        <v>263065.55072699999</v>
      </c>
      <c r="Q8">
        <v>258443.24085900001</v>
      </c>
      <c r="R8">
        <v>305137.57730399998</v>
      </c>
      <c r="S8">
        <v>339007.38217200001</v>
      </c>
      <c r="T8">
        <v>407586.03049799998</v>
      </c>
      <c r="U8">
        <v>436804.41664800001</v>
      </c>
      <c r="V8">
        <v>413356.26390000002</v>
      </c>
      <c r="W8">
        <v>379844.54009999998</v>
      </c>
      <c r="X8">
        <v>345345.43829999998</v>
      </c>
      <c r="Y8">
        <v>307568.46029999998</v>
      </c>
      <c r="Z8">
        <v>305190.66820000001</v>
      </c>
      <c r="AA8">
        <v>397979.1</v>
      </c>
      <c r="AB8">
        <v>401951.39659999998</v>
      </c>
      <c r="AC8">
        <v>426375.52860000002</v>
      </c>
      <c r="AD8">
        <v>377410.63500000001</v>
      </c>
      <c r="AE8">
        <v>387974.68339999998</v>
      </c>
    </row>
    <row r="9" spans="1:31" x14ac:dyDescent="0.3">
      <c r="A9" s="3" t="s">
        <v>8</v>
      </c>
      <c r="B9">
        <v>661604.61368840595</v>
      </c>
      <c r="C9">
        <v>764904.60157126805</v>
      </c>
      <c r="D9">
        <v>859826.53061224497</v>
      </c>
      <c r="E9">
        <v>834072.94252434606</v>
      </c>
      <c r="F9">
        <v>902324.61047744704</v>
      </c>
      <c r="G9">
        <v>1016148.77003255</v>
      </c>
      <c r="H9">
        <v>1042245.8760908</v>
      </c>
      <c r="I9">
        <v>1077138.2701065</v>
      </c>
      <c r="J9">
        <v>1206508.0018460001</v>
      </c>
      <c r="K9">
        <v>1521666.6332139</v>
      </c>
      <c r="L9">
        <v>1926305.5353900001</v>
      </c>
      <c r="M9">
        <v>2389202.8839834002</v>
      </c>
      <c r="N9">
        <v>2589121.223247</v>
      </c>
      <c r="O9">
        <v>3240223.3028632202</v>
      </c>
      <c r="P9">
        <v>4157506.56856331</v>
      </c>
      <c r="Q9">
        <v>3977795.2043329799</v>
      </c>
      <c r="R9">
        <v>4229386.1431589704</v>
      </c>
      <c r="S9">
        <v>4200082.86193641</v>
      </c>
      <c r="T9">
        <v>4007022.4843830001</v>
      </c>
      <c r="U9">
        <v>4098596.0345999999</v>
      </c>
      <c r="V9">
        <v>4233474.2966999998</v>
      </c>
      <c r="W9">
        <v>4060829.4084000001</v>
      </c>
      <c r="X9">
        <v>3697489.7541</v>
      </c>
      <c r="Y9">
        <v>3691708.7595700002</v>
      </c>
      <c r="Z9">
        <v>4210994.39286</v>
      </c>
      <c r="AA9">
        <v>4416991.2735000001</v>
      </c>
      <c r="AB9">
        <v>4703592.5560600003</v>
      </c>
      <c r="AC9">
        <v>5533484.7400000002</v>
      </c>
      <c r="AD9">
        <v>5366136.81898</v>
      </c>
      <c r="AE9">
        <v>5130016.3139399998</v>
      </c>
    </row>
    <row r="10" spans="1:31" x14ac:dyDescent="0.3">
      <c r="A10" s="3" t="s">
        <v>9</v>
      </c>
      <c r="B10">
        <v>943696.92405723198</v>
      </c>
      <c r="C10">
        <v>1024490.57334711</v>
      </c>
      <c r="D10">
        <v>1179105.68538542</v>
      </c>
      <c r="E10">
        <v>1185145.9994854601</v>
      </c>
      <c r="F10">
        <v>1140963.67390213</v>
      </c>
      <c r="G10">
        <v>1393041.84100418</v>
      </c>
      <c r="H10">
        <v>1457271.7553999999</v>
      </c>
      <c r="I10">
        <v>1512242.0865</v>
      </c>
      <c r="J10">
        <v>1645212.6026000001</v>
      </c>
      <c r="K10">
        <v>2094684.9157</v>
      </c>
      <c r="L10">
        <v>2699701.6529999999</v>
      </c>
      <c r="M10">
        <v>3212139.6346</v>
      </c>
      <c r="N10">
        <v>3145739.6523000002</v>
      </c>
      <c r="O10">
        <v>4013889.3840000001</v>
      </c>
      <c r="P10">
        <v>5040788.3735999996</v>
      </c>
      <c r="Q10">
        <v>4909145.2065000003</v>
      </c>
      <c r="R10">
        <v>5060879.6616000002</v>
      </c>
      <c r="S10">
        <v>5100371.6063999999</v>
      </c>
      <c r="T10">
        <v>5094966.7397999996</v>
      </c>
      <c r="U10">
        <v>5448611.3921999997</v>
      </c>
      <c r="V10">
        <v>5502871.0290000001</v>
      </c>
      <c r="W10">
        <v>5213522.6585999997</v>
      </c>
      <c r="X10">
        <v>4784533.8414000003</v>
      </c>
      <c r="Y10">
        <v>4898735.7955999998</v>
      </c>
      <c r="Z10">
        <v>5725828.7836999996</v>
      </c>
      <c r="AA10">
        <v>5681178.5599999996</v>
      </c>
      <c r="AB10">
        <v>5792206.5873999996</v>
      </c>
      <c r="AC10">
        <v>6790355.4130999995</v>
      </c>
      <c r="AD10">
        <v>6673967.8207999999</v>
      </c>
      <c r="AE10">
        <v>6078754.9874</v>
      </c>
    </row>
    <row r="11" spans="1:31" x14ac:dyDescent="0.3">
      <c r="A11" s="3" t="s">
        <v>10</v>
      </c>
      <c r="B11">
        <v>19082.0901604551</v>
      </c>
      <c r="C11">
        <v>26281.7562328438</v>
      </c>
      <c r="D11">
        <v>33398.120383733803</v>
      </c>
      <c r="E11">
        <v>41127.3486713643</v>
      </c>
      <c r="F11">
        <v>40491.874013074099</v>
      </c>
      <c r="G11">
        <v>42052</v>
      </c>
      <c r="H11">
        <v>43991.434000000001</v>
      </c>
      <c r="I11">
        <v>37728.983500000002</v>
      </c>
      <c r="J11">
        <v>43916.060299999903</v>
      </c>
      <c r="K11">
        <v>62865.240150947102</v>
      </c>
      <c r="L11">
        <v>91890.702462174595</v>
      </c>
      <c r="M11">
        <v>117944.63281803799</v>
      </c>
      <c r="N11">
        <v>130944.954640342</v>
      </c>
      <c r="O11">
        <v>161107.62727509101</v>
      </c>
      <c r="P11">
        <v>228234.61610804099</v>
      </c>
      <c r="Q11">
        <v>260456.50053506499</v>
      </c>
      <c r="R11">
        <v>304147.55019752699</v>
      </c>
      <c r="S11">
        <v>245937.02189505601</v>
      </c>
      <c r="T11">
        <v>233385.803117998</v>
      </c>
      <c r="U11">
        <v>281337.042901796</v>
      </c>
      <c r="V11">
        <v>258422.396699278</v>
      </c>
      <c r="W11">
        <v>225626.247369013</v>
      </c>
      <c r="X11">
        <v>213715.428119994</v>
      </c>
      <c r="Y11">
        <v>199731.358533463</v>
      </c>
      <c r="Z11">
        <v>190794.591825707</v>
      </c>
      <c r="AA11">
        <v>180693.08478755099</v>
      </c>
      <c r="AB11">
        <v>210626.218257453</v>
      </c>
      <c r="AC11">
        <v>272803.479469818</v>
      </c>
      <c r="AD11">
        <v>290163.11065178498</v>
      </c>
      <c r="AE11">
        <v>278647.26204855199</v>
      </c>
    </row>
    <row r="12" spans="1:31" x14ac:dyDescent="0.3">
      <c r="A12" s="3" t="s">
        <v>11</v>
      </c>
      <c r="B12">
        <v>219.702602230483</v>
      </c>
      <c r="C12">
        <v>318.355079900308</v>
      </c>
      <c r="D12">
        <v>297.133220910624</v>
      </c>
      <c r="E12">
        <v>331.30512782179699</v>
      </c>
      <c r="F12">
        <v>408.36796896647297</v>
      </c>
      <c r="G12">
        <v>514.71436814772096</v>
      </c>
      <c r="H12">
        <v>688.03583735354903</v>
      </c>
      <c r="I12">
        <v>588.42975206611595</v>
      </c>
      <c r="J12">
        <v>966.61486158329296</v>
      </c>
      <c r="K12">
        <v>1625.3412757508099</v>
      </c>
      <c r="L12">
        <v>4150.2324271024099</v>
      </c>
      <c r="M12">
        <v>8432.8145478374809</v>
      </c>
      <c r="N12">
        <v>19573.134328358199</v>
      </c>
      <c r="O12">
        <v>36387.175551214103</v>
      </c>
      <c r="P12">
        <v>60770.897332255503</v>
      </c>
      <c r="Q12">
        <v>16696.384143307401</v>
      </c>
      <c r="R12">
        <v>13847.6381104884</v>
      </c>
      <c r="S12">
        <v>14345.2151238592</v>
      </c>
      <c r="T12">
        <v>12163.450411539399</v>
      </c>
      <c r="U12">
        <v>16972.021086905999</v>
      </c>
      <c r="V12">
        <v>18314.409346603199</v>
      </c>
      <c r="W12">
        <v>14529.669030732901</v>
      </c>
      <c r="X12">
        <v>10306.8215140057</v>
      </c>
      <c r="Y12">
        <v>5749.8049991136304</v>
      </c>
      <c r="Z12">
        <v>5828.6343612334804</v>
      </c>
      <c r="AA12">
        <v>6426.1239577065298</v>
      </c>
      <c r="AB12">
        <v>5583.8398018166799</v>
      </c>
      <c r="AC12">
        <v>5928.2760789246104</v>
      </c>
      <c r="AD12">
        <v>5952.3393158459903</v>
      </c>
      <c r="AE12">
        <v>6201.05604055196</v>
      </c>
    </row>
    <row r="13" spans="1:31" x14ac:dyDescent="0.3">
      <c r="A13" s="3" t="s">
        <v>12</v>
      </c>
      <c r="B13">
        <v>40702.392779231603</v>
      </c>
      <c r="C13">
        <v>55200.338643005802</v>
      </c>
      <c r="D13">
        <v>83239.762291665204</v>
      </c>
      <c r="E13">
        <v>124466.22711998499</v>
      </c>
      <c r="F13">
        <v>197007.62714999999</v>
      </c>
      <c r="G13">
        <v>335797.65049999999</v>
      </c>
      <c r="H13">
        <v>422184.15460000001</v>
      </c>
      <c r="I13">
        <v>468654.69949999999</v>
      </c>
      <c r="J13">
        <v>561139.57339999895</v>
      </c>
      <c r="K13">
        <v>750674.14179999998</v>
      </c>
      <c r="L13">
        <v>1057107.003</v>
      </c>
      <c r="M13">
        <v>1333807.8208999999</v>
      </c>
      <c r="N13">
        <v>1484361.0641000001</v>
      </c>
      <c r="O13">
        <v>1942848.936</v>
      </c>
      <c r="P13">
        <v>2503780.0661999998</v>
      </c>
      <c r="Q13">
        <v>2390569.0161000001</v>
      </c>
      <c r="R13">
        <v>2433743.8775999998</v>
      </c>
      <c r="S13">
        <v>2325995.4948</v>
      </c>
      <c r="T13">
        <v>2496352.3235999998</v>
      </c>
      <c r="U13">
        <v>2551529.6063999999</v>
      </c>
      <c r="V13">
        <v>2629499.6298000002</v>
      </c>
      <c r="W13">
        <v>2626888.6790999998</v>
      </c>
      <c r="X13">
        <v>2670648.5994000002</v>
      </c>
      <c r="Y13">
        <v>2687101.179</v>
      </c>
      <c r="Z13">
        <v>3246054.1631999998</v>
      </c>
      <c r="AA13">
        <v>3235685.27</v>
      </c>
      <c r="AB13">
        <v>3797071.7788</v>
      </c>
      <c r="AC13">
        <v>4455046.6778999995</v>
      </c>
      <c r="AD13">
        <v>4715624.2714</v>
      </c>
      <c r="AE13">
        <v>4288070.1122000003</v>
      </c>
    </row>
    <row r="14" spans="1:31" x14ac:dyDescent="0.3">
      <c r="A14" s="3" t="s">
        <v>13</v>
      </c>
      <c r="B14">
        <v>306567.01702494803</v>
      </c>
      <c r="C14">
        <v>353603.02870396501</v>
      </c>
      <c r="D14">
        <v>414330.60729971202</v>
      </c>
      <c r="E14">
        <v>526343.16145900998</v>
      </c>
      <c r="F14">
        <v>561985.94591749297</v>
      </c>
      <c r="G14">
        <v>728571.77424233302</v>
      </c>
      <c r="H14">
        <v>626082.79359999998</v>
      </c>
      <c r="I14">
        <v>604499.32499999995</v>
      </c>
      <c r="J14">
        <v>601028.09269999794</v>
      </c>
      <c r="K14">
        <v>717320.23829999997</v>
      </c>
      <c r="L14">
        <v>934911.75300000003</v>
      </c>
      <c r="M14">
        <v>1101162.503</v>
      </c>
      <c r="N14">
        <v>1124406.2812999999</v>
      </c>
      <c r="O14">
        <v>1364273.7150000001</v>
      </c>
      <c r="P14">
        <v>1588069.0937999999</v>
      </c>
      <c r="Q14">
        <v>1396191.0159</v>
      </c>
      <c r="R14">
        <v>1462151.3759999999</v>
      </c>
      <c r="S14">
        <v>1274074.7172000001</v>
      </c>
      <c r="T14">
        <v>1237068.0303</v>
      </c>
      <c r="U14">
        <v>1245877.7544</v>
      </c>
      <c r="V14">
        <v>1216093.1381999999</v>
      </c>
      <c r="W14">
        <v>1166597.1233999999</v>
      </c>
      <c r="X14">
        <v>1070770.1997</v>
      </c>
      <c r="Y14">
        <v>1064808.6018999999</v>
      </c>
      <c r="Z14">
        <v>1265883.9367</v>
      </c>
      <c r="AA14">
        <v>1240522.77</v>
      </c>
      <c r="AB14">
        <v>1304699.909</v>
      </c>
      <c r="AC14">
        <v>1484718.6011000001</v>
      </c>
      <c r="AD14">
        <v>1435222.7918</v>
      </c>
      <c r="AE14">
        <v>1324439.8840000001</v>
      </c>
    </row>
    <row r="15" spans="1:31" x14ac:dyDescent="0.3">
      <c r="A15" s="3" t="s">
        <v>14</v>
      </c>
      <c r="B15">
        <v>1712779.6033125799</v>
      </c>
      <c r="C15">
        <v>1902514.70535537</v>
      </c>
      <c r="D15">
        <v>2060118.6424195301</v>
      </c>
      <c r="E15">
        <v>1970220.0513033201</v>
      </c>
      <c r="F15">
        <v>2010692.95418365</v>
      </c>
      <c r="G15">
        <v>2213698.8412448098</v>
      </c>
      <c r="H15">
        <v>2144476.6339694299</v>
      </c>
      <c r="I15">
        <v>2064590.62890806</v>
      </c>
      <c r="J15">
        <v>1950631.5391390801</v>
      </c>
      <c r="K15">
        <v>2066039.8905286</v>
      </c>
      <c r="L15">
        <v>2311887.1527728098</v>
      </c>
      <c r="M15">
        <v>2583491.71974923</v>
      </c>
      <c r="N15">
        <v>2626414.0628100499</v>
      </c>
      <c r="O15">
        <v>2814130.92969445</v>
      </c>
      <c r="P15">
        <v>3232790.4565179399</v>
      </c>
      <c r="Q15">
        <v>3543994.74467442</v>
      </c>
      <c r="R15">
        <v>3594408.6393989902</v>
      </c>
      <c r="S15">
        <v>4219090.2372978898</v>
      </c>
      <c r="T15">
        <v>4517248.2338326797</v>
      </c>
      <c r="U15">
        <v>4553820.2181980498</v>
      </c>
      <c r="V15">
        <v>3897656.7478137598</v>
      </c>
      <c r="W15">
        <v>3626788.22781969</v>
      </c>
      <c r="X15">
        <v>3645638.4799874499</v>
      </c>
      <c r="Y15">
        <v>4085467.2310048002</v>
      </c>
      <c r="Z15">
        <v>4186986.83815601</v>
      </c>
      <c r="AA15">
        <v>4357163.8197904304</v>
      </c>
      <c r="AB15">
        <v>4579288.5036439402</v>
      </c>
      <c r="AC15">
        <v>5171151.1225823304</v>
      </c>
      <c r="AD15">
        <v>5003346.8238029303</v>
      </c>
      <c r="AE15">
        <v>4377523.5501280501</v>
      </c>
    </row>
    <row r="16" spans="1:31" x14ac:dyDescent="0.3">
      <c r="A16" s="3" t="s">
        <v>15</v>
      </c>
      <c r="B16">
        <v>25481</v>
      </c>
      <c r="C16">
        <v>25876</v>
      </c>
      <c r="D16">
        <v>33514</v>
      </c>
      <c r="E16">
        <v>37754</v>
      </c>
      <c r="F16">
        <v>43263</v>
      </c>
      <c r="G16">
        <v>43874</v>
      </c>
      <c r="H16">
        <v>47689</v>
      </c>
      <c r="I16">
        <v>63789.097453000002</v>
      </c>
      <c r="J16">
        <v>61967.862761562101</v>
      </c>
      <c r="K16">
        <v>62224.005913633497</v>
      </c>
      <c r="L16">
        <v>63475.5862180029</v>
      </c>
      <c r="M16">
        <v>73139.876670654601</v>
      </c>
      <c r="N16">
        <v>81619.203852231396</v>
      </c>
      <c r="O16">
        <v>92800.278692284599</v>
      </c>
      <c r="P16">
        <v>112525.40898155099</v>
      </c>
      <c r="Q16">
        <v>122532.119628798</v>
      </c>
      <c r="R16">
        <v>89153.509929250693</v>
      </c>
      <c r="S16">
        <v>100996.98557280299</v>
      </c>
      <c r="T16">
        <v>97738.161166753198</v>
      </c>
      <c r="U16">
        <v>102029.10560884701</v>
      </c>
      <c r="V16">
        <v>122165.249849473</v>
      </c>
      <c r="W16">
        <v>130044.795475978</v>
      </c>
      <c r="X16">
        <v>146055.23596136901</v>
      </c>
      <c r="Y16">
        <v>159748.528111972</v>
      </c>
      <c r="Z16">
        <v>162799.60628519501</v>
      </c>
      <c r="AA16">
        <v>166047.22079320101</v>
      </c>
      <c r="AB16">
        <v>174516.20927957699</v>
      </c>
      <c r="AC16">
        <v>189972.65445751199</v>
      </c>
      <c r="AD16">
        <v>189059.67587680501</v>
      </c>
      <c r="AE16">
        <v>190155.82066188299</v>
      </c>
    </row>
    <row r="17" spans="1:31" x14ac:dyDescent="0.3">
      <c r="A17" s="3" t="s">
        <v>16</v>
      </c>
      <c r="B17">
        <v>274419.59915503103</v>
      </c>
      <c r="C17">
        <v>200071.67632989399</v>
      </c>
      <c r="D17">
        <v>339421.590625779</v>
      </c>
      <c r="E17">
        <v>355433.01215875201</v>
      </c>
      <c r="F17">
        <v>391641.87983343302</v>
      </c>
      <c r="G17">
        <v>526175.34942820796</v>
      </c>
      <c r="H17">
        <v>497993.27980000002</v>
      </c>
      <c r="I17">
        <v>529539.17550000001</v>
      </c>
      <c r="J17">
        <v>610276.45490000001</v>
      </c>
      <c r="K17">
        <v>785065.20959999994</v>
      </c>
      <c r="L17">
        <v>1130372.3700000001</v>
      </c>
      <c r="M17">
        <v>1412714.2738999999</v>
      </c>
      <c r="N17">
        <v>1462589.7006000001</v>
      </c>
      <c r="O17">
        <v>1868369.952</v>
      </c>
      <c r="P17">
        <v>2344504.7346000001</v>
      </c>
      <c r="Q17">
        <v>2068504.5855</v>
      </c>
      <c r="R17">
        <v>2138906.3598000002</v>
      </c>
      <c r="S17">
        <v>2053253.0231999999</v>
      </c>
      <c r="T17">
        <v>2121853.6710000001</v>
      </c>
      <c r="U17">
        <v>2210228.5337999999</v>
      </c>
      <c r="V17">
        <v>2219527.6773000001</v>
      </c>
      <c r="W17">
        <v>2255552.5518</v>
      </c>
      <c r="X17">
        <v>2129153.1708</v>
      </c>
      <c r="Y17">
        <v>2175386.2258000001</v>
      </c>
      <c r="Z17">
        <v>2399952.8103999998</v>
      </c>
      <c r="AA17">
        <v>2307054.7749999999</v>
      </c>
      <c r="AB17">
        <v>2404181.5995999998</v>
      </c>
      <c r="AC17">
        <v>2578539.5888</v>
      </c>
      <c r="AD17">
        <v>2516107.1431999998</v>
      </c>
      <c r="AE17">
        <v>2452768.2924000002</v>
      </c>
    </row>
    <row r="18" spans="1:31" x14ac:dyDescent="0.3">
      <c r="A18" s="3" t="s">
        <v>17</v>
      </c>
      <c r="B18">
        <v>2086.55912532</v>
      </c>
      <c r="C18">
        <v>3794.60499999999</v>
      </c>
      <c r="D18">
        <v>3398.4665999999902</v>
      </c>
      <c r="E18">
        <v>5884.51</v>
      </c>
      <c r="F18">
        <v>5732.6535000000003</v>
      </c>
      <c r="G18">
        <v>4429.6483000000098</v>
      </c>
      <c r="H18">
        <v>5746.9033999999901</v>
      </c>
      <c r="I18">
        <v>8888.0781999999999</v>
      </c>
      <c r="J18">
        <v>12996.424499999999</v>
      </c>
      <c r="K18">
        <v>17233.924500000001</v>
      </c>
      <c r="L18">
        <v>19834.75</v>
      </c>
      <c r="M18">
        <v>22110.915199999999</v>
      </c>
      <c r="N18">
        <v>16693.618600000002</v>
      </c>
      <c r="O18">
        <v>19820.260200000099</v>
      </c>
      <c r="P18">
        <v>26713.0619999999</v>
      </c>
      <c r="Q18">
        <v>20415.843499999999</v>
      </c>
      <c r="R18">
        <v>27659.1525</v>
      </c>
      <c r="S18">
        <v>36042.503199999999</v>
      </c>
      <c r="T18">
        <v>43392.566699999799</v>
      </c>
      <c r="U18">
        <v>46898.614000000001</v>
      </c>
      <c r="V18">
        <v>49040.578200000004</v>
      </c>
      <c r="W18">
        <v>52908.381999999903</v>
      </c>
      <c r="X18">
        <v>51977.004799999901</v>
      </c>
      <c r="Y18">
        <v>56603.024179499698</v>
      </c>
      <c r="Z18">
        <v>58348.474095102902</v>
      </c>
      <c r="AA18">
        <v>58807.062298603698</v>
      </c>
      <c r="AB18">
        <v>63210.533405172398</v>
      </c>
      <c r="AC18">
        <v>73494.977234949794</v>
      </c>
      <c r="AD18">
        <v>64686.752749880499</v>
      </c>
      <c r="AE18">
        <v>65759.265125118807</v>
      </c>
    </row>
    <row r="19" spans="1:31" x14ac:dyDescent="0.3">
      <c r="A19" s="3" t="s">
        <v>18</v>
      </c>
      <c r="B19">
        <v>25671.85</v>
      </c>
      <c r="C19">
        <v>33869.582144307496</v>
      </c>
      <c r="D19">
        <v>37047.097075071397</v>
      </c>
      <c r="E19">
        <v>45771.260589185898</v>
      </c>
      <c r="F19">
        <v>57147.9175022571</v>
      </c>
      <c r="G19">
        <v>62136.315789473701</v>
      </c>
      <c r="H19">
        <v>74462.964114683695</v>
      </c>
      <c r="I19">
        <v>98899.248460190996</v>
      </c>
      <c r="J19">
        <v>115648.386524036</v>
      </c>
      <c r="K19">
        <v>168051.73923654499</v>
      </c>
      <c r="L19">
        <v>219255.688622755</v>
      </c>
      <c r="M19">
        <v>266133.112582781</v>
      </c>
      <c r="N19">
        <v>299662.18611521402</v>
      </c>
      <c r="O19">
        <v>444926.03833865799</v>
      </c>
      <c r="P19">
        <v>548176.34011090605</v>
      </c>
      <c r="Q19">
        <v>508682.71428571403</v>
      </c>
      <c r="R19">
        <v>477184.77508650499</v>
      </c>
      <c r="S19">
        <v>524111.604095563</v>
      </c>
      <c r="T19">
        <v>557998.99833055097</v>
      </c>
      <c r="U19">
        <v>606186.89407540404</v>
      </c>
      <c r="V19">
        <v>657894.90131578897</v>
      </c>
      <c r="W19">
        <v>657833.51278600295</v>
      </c>
      <c r="X19">
        <v>609168.55845629994</v>
      </c>
      <c r="Y19">
        <v>616358.81670533598</v>
      </c>
      <c r="Z19">
        <v>648157.97807551804</v>
      </c>
      <c r="AA19">
        <v>617155.69620253204</v>
      </c>
      <c r="AB19">
        <v>646308.88382687897</v>
      </c>
      <c r="AC19">
        <v>703431.65298944898</v>
      </c>
      <c r="AD19">
        <v>787684.24036281195</v>
      </c>
      <c r="AE19">
        <v>840476.67342799203</v>
      </c>
    </row>
    <row r="20" spans="1:31" x14ac:dyDescent="0.3">
      <c r="A20" s="3" t="s">
        <v>19</v>
      </c>
      <c r="B20">
        <v>25328.8577328104</v>
      </c>
      <c r="C20">
        <v>37092.013567630398</v>
      </c>
      <c r="D20">
        <v>45347.399547433997</v>
      </c>
      <c r="E20">
        <v>59554.137047909797</v>
      </c>
      <c r="F20">
        <v>73143.693216329993</v>
      </c>
      <c r="G20">
        <v>92820.778969903899</v>
      </c>
      <c r="H20">
        <v>92360.914799999999</v>
      </c>
      <c r="I20">
        <v>102116.792</v>
      </c>
      <c r="J20">
        <v>112552.58560000001</v>
      </c>
      <c r="K20">
        <v>148652.17629999999</v>
      </c>
      <c r="L20">
        <v>210379.17300000001</v>
      </c>
      <c r="M20">
        <v>240254.0085</v>
      </c>
      <c r="N20">
        <v>224821.32750000001</v>
      </c>
      <c r="O20">
        <v>266442.27</v>
      </c>
      <c r="P20">
        <v>315532.85820000002</v>
      </c>
      <c r="Q20">
        <v>296934.5037</v>
      </c>
      <c r="R20">
        <v>332548.10399999999</v>
      </c>
      <c r="S20">
        <v>317676.20520000003</v>
      </c>
      <c r="T20">
        <v>273975.56160000002</v>
      </c>
      <c r="U20">
        <v>272470.61339999997</v>
      </c>
      <c r="V20">
        <v>259721.76569999999</v>
      </c>
      <c r="W20">
        <v>237910.1796</v>
      </c>
      <c r="X20">
        <v>203258.11259999999</v>
      </c>
      <c r="Y20">
        <v>193490.59599999999</v>
      </c>
      <c r="Z20">
        <v>228947.5693</v>
      </c>
      <c r="AA20">
        <v>226380.24</v>
      </c>
      <c r="AB20">
        <v>238092.2726</v>
      </c>
      <c r="AC20">
        <v>266018.10060000001</v>
      </c>
      <c r="AD20">
        <v>242779.60560000001</v>
      </c>
      <c r="AE20">
        <v>230209.611</v>
      </c>
    </row>
    <row r="21" spans="1:31" x14ac:dyDescent="0.3">
      <c r="A21" s="3" t="s">
        <v>20</v>
      </c>
      <c r="B21">
        <v>144078.64204649301</v>
      </c>
      <c r="C21">
        <v>144520.60513591301</v>
      </c>
      <c r="D21">
        <v>191410.850925384</v>
      </c>
      <c r="E21">
        <v>184383.92687107201</v>
      </c>
      <c r="F21">
        <v>181302.817365625</v>
      </c>
      <c r="G21">
        <v>247091.67481902501</v>
      </c>
      <c r="H21">
        <v>283437.84399999998</v>
      </c>
      <c r="I21">
        <v>308405.8505</v>
      </c>
      <c r="J21">
        <v>327464.64099999901</v>
      </c>
      <c r="K21">
        <v>474794.73019999999</v>
      </c>
      <c r="L21">
        <v>659604.27599999995</v>
      </c>
      <c r="M21">
        <v>795621.67940000002</v>
      </c>
      <c r="N21">
        <v>838627.49540000001</v>
      </c>
      <c r="O21">
        <v>1019260.542</v>
      </c>
      <c r="P21">
        <v>1169321.4162000001</v>
      </c>
      <c r="Q21">
        <v>1077751.9638</v>
      </c>
      <c r="R21">
        <v>1080480.2526</v>
      </c>
      <c r="S21">
        <v>900724.40280000004</v>
      </c>
      <c r="T21">
        <v>840245.72100000002</v>
      </c>
      <c r="U21">
        <v>840567.31019999995</v>
      </c>
      <c r="V21">
        <v>834999.53969999996</v>
      </c>
      <c r="W21">
        <v>798673.83120000002</v>
      </c>
      <c r="X21">
        <v>765778.51560000004</v>
      </c>
      <c r="Y21">
        <v>792700.06559999997</v>
      </c>
      <c r="Z21">
        <v>965101.89529999997</v>
      </c>
      <c r="AA21">
        <v>1035875.775</v>
      </c>
      <c r="AB21">
        <v>1133631.9272</v>
      </c>
      <c r="AC21">
        <v>1323167.2047999999</v>
      </c>
      <c r="AD21">
        <v>1336934.6311999999</v>
      </c>
      <c r="AE21">
        <v>1362672.1610000001</v>
      </c>
    </row>
    <row r="22" spans="1:31" x14ac:dyDescent="0.3">
      <c r="A22" s="3" t="s">
        <v>21</v>
      </c>
      <c r="B22">
        <v>54314.445715662099</v>
      </c>
      <c r="C22">
        <v>64196.207196944299</v>
      </c>
      <c r="D22">
        <v>87561.202727463897</v>
      </c>
      <c r="E22">
        <v>101149.75986028201</v>
      </c>
      <c r="F22">
        <v>83494.985400533202</v>
      </c>
      <c r="G22">
        <v>96911.053219203604</v>
      </c>
      <c r="H22">
        <v>107789.442815249</v>
      </c>
      <c r="I22">
        <v>125569.48085999</v>
      </c>
      <c r="J22">
        <v>110490.555425357</v>
      </c>
      <c r="K22">
        <v>133000.793201133</v>
      </c>
      <c r="L22">
        <v>179951.59405775301</v>
      </c>
      <c r="M22">
        <v>236791.49154899799</v>
      </c>
      <c r="N22">
        <v>241178.503216727</v>
      </c>
      <c r="O22">
        <v>359593.992191597</v>
      </c>
      <c r="P22">
        <v>464582.60571286001</v>
      </c>
      <c r="Q22">
        <v>403687.55281284399</v>
      </c>
      <c r="R22">
        <v>419561.02016440697</v>
      </c>
      <c r="S22">
        <v>456672.87658166501</v>
      </c>
      <c r="T22">
        <v>492160.66321123199</v>
      </c>
      <c r="U22">
        <v>515297.56322545902</v>
      </c>
      <c r="V22">
        <v>563500.21666708204</v>
      </c>
      <c r="W22">
        <v>528378.95075524098</v>
      </c>
      <c r="X22">
        <v>464607.85707515897</v>
      </c>
      <c r="Y22">
        <v>454752.267661274</v>
      </c>
      <c r="Z22">
        <v>565772.66081871395</v>
      </c>
      <c r="AA22">
        <v>478041.91509792098</v>
      </c>
      <c r="AB22">
        <v>469073.37111395499</v>
      </c>
      <c r="AC22">
        <v>516945.53147776797</v>
      </c>
      <c r="AD22">
        <v>492319.624699882</v>
      </c>
      <c r="AE22">
        <v>466043.17512683</v>
      </c>
    </row>
    <row r="23" spans="1:31" x14ac:dyDescent="0.3">
      <c r="A23" s="3" t="s">
        <v>22</v>
      </c>
      <c r="B23">
        <v>425727.002365664</v>
      </c>
      <c r="C23">
        <v>487024.78078536002</v>
      </c>
      <c r="D23">
        <v>548622.42503259506</v>
      </c>
      <c r="E23">
        <v>596472.59358288802</v>
      </c>
      <c r="F23">
        <v>631552.25726654299</v>
      </c>
      <c r="G23">
        <v>756517.05412277498</v>
      </c>
      <c r="H23">
        <v>705407.68174315896</v>
      </c>
      <c r="I23">
        <v>782140.78154573997</v>
      </c>
      <c r="J23">
        <v>753374.57905926998</v>
      </c>
      <c r="K23">
        <v>923674.81054087903</v>
      </c>
      <c r="L23">
        <v>1033007.33925757</v>
      </c>
      <c r="M23">
        <v>1145708.35944989</v>
      </c>
      <c r="N23">
        <v>1197852.86754361</v>
      </c>
      <c r="O23">
        <v>1377983.2251419399</v>
      </c>
      <c r="P23">
        <v>1865991.94728479</v>
      </c>
      <c r="Q23">
        <v>1591156.2181965399</v>
      </c>
      <c r="R23">
        <v>1587419.9182396501</v>
      </c>
      <c r="S23">
        <v>1557536.06945889</v>
      </c>
      <c r="T23">
        <v>1550900.1344777599</v>
      </c>
      <c r="U23">
        <v>1583832.4455613799</v>
      </c>
      <c r="V23">
        <v>1691464.60699918</v>
      </c>
      <c r="W23">
        <v>1576498.7416457201</v>
      </c>
      <c r="X23">
        <v>1548807.6167653799</v>
      </c>
      <c r="Y23">
        <v>1620570.7445561499</v>
      </c>
      <c r="Z23">
        <v>1729520.16807607</v>
      </c>
      <c r="AA23">
        <v>1605824.04059449</v>
      </c>
      <c r="AB23">
        <v>1651965.1756209501</v>
      </c>
      <c r="AC23">
        <v>1673108.96046396</v>
      </c>
      <c r="AD23">
        <v>1691624.9277415299</v>
      </c>
      <c r="AE23">
        <v>1627082.45089105</v>
      </c>
    </row>
    <row r="24" spans="1:31" x14ac:dyDescent="0.3">
      <c r="A24" s="3" t="s">
        <v>23</v>
      </c>
      <c r="B24">
        <v>20648</v>
      </c>
      <c r="C24">
        <v>18195</v>
      </c>
      <c r="D24">
        <v>18969</v>
      </c>
      <c r="E24">
        <v>20025</v>
      </c>
      <c r="F24">
        <v>22435</v>
      </c>
      <c r="G24">
        <v>25500</v>
      </c>
      <c r="H24">
        <v>28517</v>
      </c>
      <c r="I24">
        <v>28974</v>
      </c>
      <c r="J24">
        <v>31364.629757021001</v>
      </c>
      <c r="K24">
        <v>32664.334539382598</v>
      </c>
      <c r="L24">
        <v>38116.645876399998</v>
      </c>
      <c r="M24">
        <v>48904.239492599998</v>
      </c>
      <c r="N24">
        <v>55006</v>
      </c>
      <c r="O24">
        <v>81183</v>
      </c>
      <c r="P24">
        <v>94503</v>
      </c>
      <c r="Q24">
        <v>106002</v>
      </c>
      <c r="R24">
        <v>97102</v>
      </c>
      <c r="S24">
        <v>89672</v>
      </c>
      <c r="T24">
        <v>78472</v>
      </c>
      <c r="U24">
        <v>80173</v>
      </c>
      <c r="V24">
        <v>79572</v>
      </c>
      <c r="W24">
        <v>82493</v>
      </c>
      <c r="X24">
        <v>81825</v>
      </c>
      <c r="Y24">
        <v>89625</v>
      </c>
      <c r="Z24">
        <v>94349</v>
      </c>
      <c r="AA24">
        <v>107972</v>
      </c>
      <c r="AB24">
        <v>113330</v>
      </c>
      <c r="AC24">
        <v>109203</v>
      </c>
      <c r="AD24">
        <v>122537</v>
      </c>
      <c r="AE24">
        <v>122455</v>
      </c>
    </row>
    <row r="25" spans="1:31" x14ac:dyDescent="0.3">
      <c r="A25" s="3" t="s">
        <v>24</v>
      </c>
      <c r="B25">
        <v>1422174.18</v>
      </c>
      <c r="C25">
        <v>1486820.3125</v>
      </c>
      <c r="D25">
        <v>1690152.55</v>
      </c>
      <c r="E25">
        <v>1972456.23</v>
      </c>
      <c r="F25">
        <v>2379780.1625999999</v>
      </c>
      <c r="G25">
        <v>2508394.977</v>
      </c>
      <c r="H25">
        <v>2543306.7996</v>
      </c>
      <c r="I25">
        <v>2923418.2626</v>
      </c>
      <c r="J25">
        <v>3078237.5847999998</v>
      </c>
      <c r="K25">
        <v>3423213.3709999998</v>
      </c>
      <c r="L25">
        <v>4350807.6939000003</v>
      </c>
      <c r="M25">
        <v>5497034.7960000001</v>
      </c>
      <c r="N25">
        <v>5983692.0388000002</v>
      </c>
      <c r="O25">
        <v>7548810.7240000004</v>
      </c>
      <c r="P25">
        <v>9513259.0938000008</v>
      </c>
      <c r="Q25">
        <v>7700660.8530000001</v>
      </c>
      <c r="R25">
        <v>7369727.4705000101</v>
      </c>
      <c r="S25">
        <v>7607623.9594999999</v>
      </c>
      <c r="T25">
        <v>7904018.8029999901</v>
      </c>
      <c r="U25">
        <v>7586893.0260000098</v>
      </c>
      <c r="V25">
        <v>7396248.1380000003</v>
      </c>
      <c r="W25">
        <v>7112960.4824000103</v>
      </c>
      <c r="X25">
        <v>6601098.3576999996</v>
      </c>
      <c r="Y25">
        <v>6427345.977</v>
      </c>
      <c r="Z25">
        <v>7198501.5877499999</v>
      </c>
      <c r="AA25">
        <v>7243527.97585</v>
      </c>
      <c r="AB25">
        <v>7022552.0074500004</v>
      </c>
      <c r="AC25">
        <v>7832804.4299999997</v>
      </c>
      <c r="AD25">
        <v>8165890.4850000003</v>
      </c>
      <c r="AE25">
        <v>8042748.7699999996</v>
      </c>
    </row>
    <row r="26" spans="1:31" x14ac:dyDescent="0.3">
      <c r="A26" s="3" t="s">
        <v>25</v>
      </c>
      <c r="B26">
        <v>1321315</v>
      </c>
      <c r="C26">
        <v>1410397</v>
      </c>
      <c r="D26">
        <v>1634090</v>
      </c>
      <c r="E26">
        <v>1875623</v>
      </c>
      <c r="F26">
        <v>2157220</v>
      </c>
      <c r="G26">
        <v>2278536</v>
      </c>
      <c r="H26">
        <v>2419905</v>
      </c>
      <c r="I26">
        <v>2726514</v>
      </c>
      <c r="J26">
        <v>2873499</v>
      </c>
      <c r="K26">
        <v>3250042</v>
      </c>
      <c r="L26">
        <v>3321241</v>
      </c>
      <c r="M26">
        <v>4092756</v>
      </c>
      <c r="N26">
        <v>4614054</v>
      </c>
      <c r="O26">
        <v>5692811</v>
      </c>
      <c r="P26">
        <v>6762711</v>
      </c>
      <c r="Q26">
        <v>6547273</v>
      </c>
      <c r="R26">
        <v>6592975</v>
      </c>
      <c r="S26">
        <v>7240924</v>
      </c>
      <c r="T26">
        <v>7239763</v>
      </c>
      <c r="U26">
        <v>7027158</v>
      </c>
      <c r="V26">
        <v>7010835</v>
      </c>
      <c r="W26">
        <v>7107799</v>
      </c>
      <c r="X26">
        <v>6661504</v>
      </c>
      <c r="Y26">
        <v>6726621</v>
      </c>
      <c r="Z26">
        <v>7559472</v>
      </c>
      <c r="AA26">
        <v>7891171</v>
      </c>
      <c r="AB26">
        <v>8393516</v>
      </c>
      <c r="AC26">
        <v>8885433</v>
      </c>
      <c r="AD26">
        <v>9339840</v>
      </c>
      <c r="AE26">
        <v>8798611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A126-47D2-400D-AB00-C60BDDFBA047}">
  <dimension ref="A1:AE26"/>
  <sheetViews>
    <sheetView topLeftCell="C1" workbookViewId="0">
      <selection activeCell="H29" sqref="H29"/>
    </sheetView>
  </sheetViews>
  <sheetFormatPr defaultRowHeight="14.4" x14ac:dyDescent="0.3"/>
  <cols>
    <col min="1" max="1" width="14.6640625" bestFit="1" customWidth="1"/>
  </cols>
  <sheetData>
    <row r="1" spans="1:3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29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8.2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45424.607700000102</v>
      </c>
      <c r="C3">
        <v>53794.175414980004</v>
      </c>
      <c r="D3">
        <v>60484.315000000002</v>
      </c>
      <c r="E3">
        <v>73383.942791970301</v>
      </c>
      <c r="F3">
        <v>77802.493892009894</v>
      </c>
      <c r="G3">
        <v>86399.059607380201</v>
      </c>
      <c r="H3">
        <v>99103.657799999797</v>
      </c>
      <c r="I3">
        <v>95978.283999999898</v>
      </c>
      <c r="J3">
        <v>122263.68060000001</v>
      </c>
      <c r="K3">
        <v>128911.8498</v>
      </c>
      <c r="L3">
        <v>183950.25</v>
      </c>
      <c r="M3">
        <v>229203.61199999999</v>
      </c>
      <c r="N3">
        <v>229154.31989999901</v>
      </c>
      <c r="O3">
        <v>294751.337</v>
      </c>
      <c r="P3">
        <v>377417.36800000101</v>
      </c>
      <c r="Q3">
        <v>275773.19680000102</v>
      </c>
      <c r="R3">
        <v>396182.25559999899</v>
      </c>
      <c r="S3">
        <v>483198.8187</v>
      </c>
      <c r="T3">
        <v>458559.6496</v>
      </c>
      <c r="U3">
        <v>515197.33199999999</v>
      </c>
      <c r="V3">
        <v>490024.39949999901</v>
      </c>
      <c r="W3">
        <v>502780.9596</v>
      </c>
      <c r="X3">
        <v>466336.13520000101</v>
      </c>
      <c r="Y3">
        <v>479705.55480000097</v>
      </c>
      <c r="Z3">
        <v>552420.96000000101</v>
      </c>
      <c r="AA3">
        <v>536127.09160000097</v>
      </c>
      <c r="AB3">
        <v>617473.10939999903</v>
      </c>
      <c r="AC3">
        <v>647903.79300000204</v>
      </c>
      <c r="AD3">
        <v>670336.12720000104</v>
      </c>
      <c r="AE3">
        <v>701524.82750000095</v>
      </c>
    </row>
    <row r="4" spans="1:31" x14ac:dyDescent="0.3">
      <c r="A4" s="3" t="s">
        <v>3</v>
      </c>
      <c r="B4">
        <v>8111.6692744791198</v>
      </c>
      <c r="C4">
        <v>9390.0993709545091</v>
      </c>
      <c r="D4">
        <v>11706.9785884219</v>
      </c>
      <c r="E4">
        <v>11867.8108453533</v>
      </c>
      <c r="F4">
        <v>15158.7113116441</v>
      </c>
      <c r="G4">
        <v>18725.810845322201</v>
      </c>
      <c r="H4">
        <v>20457.6744</v>
      </c>
      <c r="I4">
        <v>26261.501499999998</v>
      </c>
      <c r="J4">
        <v>29934.0539428636</v>
      </c>
      <c r="K4">
        <v>44075.753822390601</v>
      </c>
      <c r="L4">
        <v>58295.099571683997</v>
      </c>
      <c r="M4">
        <v>73276.328053922494</v>
      </c>
      <c r="N4">
        <v>146925.027503839</v>
      </c>
      <c r="O4">
        <v>212268.79199999999</v>
      </c>
      <c r="P4">
        <v>305613.84840000002</v>
      </c>
      <c r="Q4">
        <v>304464.99239999999</v>
      </c>
      <c r="R4">
        <v>339098.5122</v>
      </c>
      <c r="S4">
        <v>318054.34980000003</v>
      </c>
      <c r="T4">
        <v>337370.19209999999</v>
      </c>
      <c r="U4">
        <v>366199.47</v>
      </c>
      <c r="V4">
        <v>393221.40389999998</v>
      </c>
      <c r="W4">
        <v>366567.14250000002</v>
      </c>
      <c r="X4">
        <v>329136.87270000001</v>
      </c>
      <c r="Y4">
        <v>292924.9031</v>
      </c>
      <c r="Z4">
        <v>361317.90820000001</v>
      </c>
      <c r="AA4">
        <v>320595.42</v>
      </c>
      <c r="AB4">
        <v>314153.19300000003</v>
      </c>
      <c r="AC4">
        <v>326438.05040000001</v>
      </c>
      <c r="AD4">
        <v>327388.22340000002</v>
      </c>
      <c r="AE4">
        <v>327890.97220000002</v>
      </c>
    </row>
    <row r="5" spans="1:31" x14ac:dyDescent="0.3">
      <c r="A5" s="3" t="s">
        <v>4</v>
      </c>
      <c r="B5">
        <v>62641.927443921399</v>
      </c>
      <c r="C5">
        <v>69540.636042402795</v>
      </c>
      <c r="D5">
        <v>80690.022097569294</v>
      </c>
      <c r="E5">
        <v>87310.795188251795</v>
      </c>
      <c r="F5">
        <v>94733.911159263298</v>
      </c>
      <c r="G5">
        <v>134982.25570868701</v>
      </c>
      <c r="H5">
        <v>151795.06</v>
      </c>
      <c r="I5">
        <v>179772.6</v>
      </c>
      <c r="J5">
        <v>181458.7887</v>
      </c>
      <c r="K5">
        <v>223940.4467</v>
      </c>
      <c r="L5">
        <v>313937.59499999997</v>
      </c>
      <c r="M5">
        <v>369229.89539999998</v>
      </c>
      <c r="N5">
        <v>378157.55379999999</v>
      </c>
      <c r="O5">
        <v>481355.598</v>
      </c>
      <c r="P5">
        <v>621095.18310000002</v>
      </c>
      <c r="Q5">
        <v>907192.17030000105</v>
      </c>
      <c r="R5">
        <v>1046454.7212</v>
      </c>
      <c r="S5">
        <v>1076031.1703999999</v>
      </c>
      <c r="T5">
        <v>1130235.8829000001</v>
      </c>
      <c r="U5">
        <v>1187463.9582</v>
      </c>
      <c r="V5">
        <v>1222021.8891</v>
      </c>
      <c r="W5">
        <v>1131255.8865</v>
      </c>
      <c r="X5">
        <v>1076346.5211</v>
      </c>
      <c r="Y5">
        <v>1087541.3225</v>
      </c>
      <c r="Z5">
        <v>1200765.5445999999</v>
      </c>
      <c r="AA5">
        <v>1020819.025</v>
      </c>
      <c r="AB5">
        <v>1068524.1568</v>
      </c>
      <c r="AC5">
        <v>1101998.3821</v>
      </c>
      <c r="AD5">
        <v>1126559.8441999999</v>
      </c>
      <c r="AE5">
        <v>1068927.3211999999</v>
      </c>
    </row>
    <row r="6" spans="1:31" x14ac:dyDescent="0.3">
      <c r="A6" s="3" t="s">
        <v>5</v>
      </c>
      <c r="B6">
        <v>151613.24553258799</v>
      </c>
      <c r="C6">
        <v>157393.14025619699</v>
      </c>
      <c r="D6">
        <v>204696.498685389</v>
      </c>
      <c r="E6">
        <v>256724.85387399999</v>
      </c>
      <c r="F6">
        <v>319745.43986899999</v>
      </c>
      <c r="G6">
        <v>375502.92160190002</v>
      </c>
      <c r="H6">
        <v>426324.22509924299</v>
      </c>
      <c r="I6">
        <v>464889.27690815501</v>
      </c>
      <c r="J6">
        <v>423722.42392578098</v>
      </c>
      <c r="K6">
        <v>400657.49800013402</v>
      </c>
      <c r="L6">
        <v>527529.05822112795</v>
      </c>
      <c r="M6">
        <v>661000.80402980302</v>
      </c>
      <c r="N6">
        <v>722843.46564156003</v>
      </c>
      <c r="O6">
        <v>815522.83541935601</v>
      </c>
      <c r="P6">
        <v>986214.94737472199</v>
      </c>
      <c r="Q6">
        <v>687769.13607477804</v>
      </c>
      <c r="R6">
        <v>931883.31772252196</v>
      </c>
      <c r="S6">
        <v>1051858.31648696</v>
      </c>
      <c r="T6">
        <v>931919.75646007201</v>
      </c>
      <c r="U6">
        <v>1023243.49191929</v>
      </c>
      <c r="V6">
        <v>1205039.07813172</v>
      </c>
      <c r="W6">
        <v>1214407.6338501</v>
      </c>
      <c r="X6">
        <v>1213977.2983138701</v>
      </c>
      <c r="Y6">
        <v>1349216.1372015299</v>
      </c>
      <c r="Z6">
        <v>1594928.90525947</v>
      </c>
      <c r="AA6">
        <v>1439622.29369496</v>
      </c>
      <c r="AB6">
        <v>1776032.5135399301</v>
      </c>
      <c r="AC6">
        <v>1954376.04360042</v>
      </c>
      <c r="AD6">
        <v>2253072.0853630798</v>
      </c>
      <c r="AE6">
        <v>2190056.2622900801</v>
      </c>
    </row>
    <row r="7" spans="1:31" x14ac:dyDescent="0.3">
      <c r="A7" s="3" t="s">
        <v>6</v>
      </c>
      <c r="B7">
        <v>19638.242894056799</v>
      </c>
      <c r="C7">
        <v>25480.848265658398</v>
      </c>
      <c r="D7">
        <v>31013.342949873801</v>
      </c>
      <c r="E7">
        <v>31962.318109176598</v>
      </c>
      <c r="F7">
        <v>31936.7125695869</v>
      </c>
      <c r="G7">
        <v>39272.5279887262</v>
      </c>
      <c r="H7">
        <v>50851.083959561001</v>
      </c>
      <c r="I7">
        <v>72869.771211271101</v>
      </c>
      <c r="J7">
        <v>78251.6201914501</v>
      </c>
      <c r="K7">
        <v>86678.574454265603</v>
      </c>
      <c r="L7">
        <v>102595.508258359</v>
      </c>
      <c r="M7">
        <v>126216.255761212</v>
      </c>
      <c r="N7">
        <v>127839.53447921399</v>
      </c>
      <c r="O7">
        <v>145874.69530504799</v>
      </c>
      <c r="P7">
        <v>179063.503635253</v>
      </c>
      <c r="Q7">
        <v>194003.67083577701</v>
      </c>
      <c r="R7">
        <v>213393.190882642</v>
      </c>
      <c r="S7">
        <v>221647.87201824199</v>
      </c>
      <c r="T7">
        <v>234019.07546644399</v>
      </c>
      <c r="U7">
        <v>245190.40130056001</v>
      </c>
      <c r="V7">
        <v>260865.18742956399</v>
      </c>
      <c r="W7">
        <v>247686.15022707201</v>
      </c>
      <c r="X7">
        <v>233812.44509516799</v>
      </c>
      <c r="Y7">
        <v>253103.164700544</v>
      </c>
      <c r="Z7">
        <v>295300.030607149</v>
      </c>
      <c r="AA7">
        <v>306365.92324446997</v>
      </c>
      <c r="AB7">
        <v>306035.29112179601</v>
      </c>
      <c r="AC7">
        <v>353333.49841521401</v>
      </c>
      <c r="AD7">
        <v>369672.77327318199</v>
      </c>
      <c r="AE7">
        <v>365662.91844754899</v>
      </c>
    </row>
    <row r="8" spans="1:31" x14ac:dyDescent="0.3">
      <c r="A8" s="3" t="s">
        <v>7</v>
      </c>
      <c r="B8">
        <v>12897.571095168099</v>
      </c>
      <c r="C8">
        <v>15737.055152639599</v>
      </c>
      <c r="D8">
        <v>19071.031982746801</v>
      </c>
      <c r="E8">
        <v>21214.496436185102</v>
      </c>
      <c r="F8">
        <v>23942.110797498499</v>
      </c>
      <c r="G8">
        <v>33796.507064364203</v>
      </c>
      <c r="H8">
        <v>41872.732600000003</v>
      </c>
      <c r="I8">
        <v>63982.110500000003</v>
      </c>
      <c r="J8">
        <v>62727.408799999801</v>
      </c>
      <c r="K8">
        <v>75699.874662999995</v>
      </c>
      <c r="L8">
        <v>93131.536049999995</v>
      </c>
      <c r="M8">
        <v>106811.972773</v>
      </c>
      <c r="N8">
        <v>105982.773375</v>
      </c>
      <c r="O8">
        <v>120004.72392</v>
      </c>
      <c r="P8">
        <v>152087.14090500001</v>
      </c>
      <c r="Q8">
        <v>167383.32175199999</v>
      </c>
      <c r="R8">
        <v>176862.649278</v>
      </c>
      <c r="S8">
        <v>187187.05541999999</v>
      </c>
      <c r="T8">
        <v>173000.64072</v>
      </c>
      <c r="U8">
        <v>191796.86356200001</v>
      </c>
      <c r="V8">
        <v>187892.7213</v>
      </c>
      <c r="W8">
        <v>154408.0239</v>
      </c>
      <c r="X8">
        <v>144880.92989999999</v>
      </c>
      <c r="Y8">
        <v>153930.223</v>
      </c>
      <c r="Z8">
        <v>188974.90030000001</v>
      </c>
      <c r="AA8">
        <v>181230.6</v>
      </c>
      <c r="AB8">
        <v>198077.88800000001</v>
      </c>
      <c r="AC8">
        <v>199882.31899999999</v>
      </c>
      <c r="AD8">
        <v>202316.33799999999</v>
      </c>
      <c r="AE8">
        <v>202144.16519999999</v>
      </c>
    </row>
    <row r="9" spans="1:31" x14ac:dyDescent="0.3">
      <c r="A9" s="3" t="s">
        <v>8</v>
      </c>
      <c r="B9">
        <v>272808.38059212401</v>
      </c>
      <c r="C9">
        <v>300860.45641601202</v>
      </c>
      <c r="D9">
        <v>374959.183673469</v>
      </c>
      <c r="E9">
        <v>482738.20889822399</v>
      </c>
      <c r="F9">
        <v>598653.99709423701</v>
      </c>
      <c r="G9">
        <v>747300.83065046906</v>
      </c>
      <c r="H9">
        <v>351982.93233159703</v>
      </c>
      <c r="I9">
        <v>499803.54992469703</v>
      </c>
      <c r="J9">
        <v>535081.30680000002</v>
      </c>
      <c r="K9">
        <v>590722.21187402494</v>
      </c>
      <c r="L9">
        <v>750175.71712892503</v>
      </c>
      <c r="M9">
        <v>868343.02862541296</v>
      </c>
      <c r="N9">
        <v>911905.80090856599</v>
      </c>
      <c r="O9">
        <v>1143186.215931</v>
      </c>
      <c r="P9">
        <v>1382719.2212127</v>
      </c>
      <c r="Q9">
        <v>1320388.1897736001</v>
      </c>
      <c r="R9">
        <v>1504780.8275136</v>
      </c>
      <c r="S9">
        <v>1557047.5448771999</v>
      </c>
      <c r="T9">
        <v>1608475.26822975</v>
      </c>
      <c r="U9">
        <v>1708981.8768</v>
      </c>
      <c r="V9">
        <v>1770993.3306</v>
      </c>
      <c r="W9">
        <v>1691674.7337</v>
      </c>
      <c r="X9">
        <v>1632145.2903</v>
      </c>
      <c r="Y9">
        <v>1641937.9442100001</v>
      </c>
      <c r="Z9">
        <v>1843409.2503</v>
      </c>
      <c r="AA9">
        <v>1854291.6614999999</v>
      </c>
      <c r="AB9">
        <v>1880155.2679600001</v>
      </c>
      <c r="AC9">
        <v>2035404.6362300001</v>
      </c>
      <c r="AD9">
        <v>2034048.6853400001</v>
      </c>
      <c r="AE9">
        <v>2044714.8640000001</v>
      </c>
    </row>
    <row r="10" spans="1:31" x14ac:dyDescent="0.3">
      <c r="A10" s="3" t="s">
        <v>9</v>
      </c>
      <c r="B10">
        <v>156701.61617331899</v>
      </c>
      <c r="C10">
        <v>188318.05268595001</v>
      </c>
      <c r="D10">
        <v>234134.63550749901</v>
      </c>
      <c r="E10">
        <v>250140.21095960899</v>
      </c>
      <c r="F10">
        <v>319659.61720886099</v>
      </c>
      <c r="G10">
        <v>391185.29587567202</v>
      </c>
      <c r="H10">
        <v>460398.13400000002</v>
      </c>
      <c r="I10">
        <v>549681.70900000003</v>
      </c>
      <c r="J10">
        <v>626348.72299999802</v>
      </c>
      <c r="K10">
        <v>725126.7611</v>
      </c>
      <c r="L10">
        <v>879866.424</v>
      </c>
      <c r="M10">
        <v>982490.90260000003</v>
      </c>
      <c r="N10">
        <v>996717.91269999999</v>
      </c>
      <c r="O10">
        <v>1235955.7709999999</v>
      </c>
      <c r="P10">
        <v>1545285.4515</v>
      </c>
      <c r="Q10">
        <v>1459591.3011</v>
      </c>
      <c r="R10">
        <v>1605282.189</v>
      </c>
      <c r="S10">
        <v>1634923.5444</v>
      </c>
      <c r="T10">
        <v>1696190.3307</v>
      </c>
      <c r="U10">
        <v>1928817.666</v>
      </c>
      <c r="V10">
        <v>2103930.1362000001</v>
      </c>
      <c r="W10">
        <v>1995930.6218999999</v>
      </c>
      <c r="X10">
        <v>1958382.9549</v>
      </c>
      <c r="Y10">
        <v>1992209.9983000001</v>
      </c>
      <c r="Z10">
        <v>2390539.5046999999</v>
      </c>
      <c r="AA10">
        <v>2470659.2450000001</v>
      </c>
      <c r="AB10">
        <v>2617700.6206</v>
      </c>
      <c r="AC10">
        <v>2999790.7478</v>
      </c>
      <c r="AD10">
        <v>2986671.8629999999</v>
      </c>
      <c r="AE10">
        <v>3031351.8620000002</v>
      </c>
    </row>
    <row r="11" spans="1:31" x14ac:dyDescent="0.3">
      <c r="A11" s="3" t="s">
        <v>10</v>
      </c>
      <c r="B11">
        <v>757.06191581170503</v>
      </c>
      <c r="C11">
        <v>854.903181947191</v>
      </c>
      <c r="D11">
        <v>1266.25106410372</v>
      </c>
      <c r="E11">
        <v>1788.0058360319799</v>
      </c>
      <c r="F11">
        <v>2177.7242900343399</v>
      </c>
      <c r="G11">
        <v>2792</v>
      </c>
      <c r="H11">
        <v>3809.4432000000002</v>
      </c>
      <c r="I11">
        <v>5851.9144999999999</v>
      </c>
      <c r="J11">
        <v>7020.4357999999802</v>
      </c>
      <c r="K11">
        <v>9508.5629000000008</v>
      </c>
      <c r="L11">
        <v>12949.539000000001</v>
      </c>
      <c r="M11">
        <v>14582.642599999999</v>
      </c>
      <c r="N11">
        <v>14529.1852</v>
      </c>
      <c r="O11">
        <v>23450.502</v>
      </c>
      <c r="P11">
        <v>33522.661200000002</v>
      </c>
      <c r="Q11">
        <v>39584.123099999997</v>
      </c>
      <c r="R11">
        <v>48899.7264</v>
      </c>
      <c r="S11">
        <v>49376.598599999998</v>
      </c>
      <c r="T11">
        <v>51677.072099999998</v>
      </c>
      <c r="U11">
        <v>48865.2984</v>
      </c>
      <c r="V11">
        <v>40380.048000000003</v>
      </c>
      <c r="W11">
        <v>33438.742200000001</v>
      </c>
      <c r="X11">
        <v>28732.970399999998</v>
      </c>
      <c r="Y11">
        <v>22365.893800000002</v>
      </c>
      <c r="Z11">
        <v>24935.845600000001</v>
      </c>
      <c r="AA11">
        <v>23581.275000000001</v>
      </c>
      <c r="AB11">
        <v>23038.6872</v>
      </c>
      <c r="AC11">
        <v>19807.8482</v>
      </c>
      <c r="AD11">
        <v>20774.1492</v>
      </c>
      <c r="AE11">
        <v>21746.9074</v>
      </c>
    </row>
    <row r="12" spans="1:31" x14ac:dyDescent="0.3">
      <c r="A12" s="3" t="s">
        <v>11</v>
      </c>
      <c r="B12">
        <v>63.307173344348101</v>
      </c>
      <c r="C12">
        <v>96.173581586277706</v>
      </c>
      <c r="D12">
        <v>250.62087996320699</v>
      </c>
      <c r="E12">
        <v>345.20855135296802</v>
      </c>
      <c r="F12">
        <v>439.51233028539798</v>
      </c>
      <c r="G12">
        <v>499.84131563762298</v>
      </c>
      <c r="H12">
        <v>631.59200551343895</v>
      </c>
      <c r="I12">
        <v>889.12632821723696</v>
      </c>
      <c r="J12">
        <v>987.25594949004403</v>
      </c>
      <c r="K12">
        <v>1342.39265326384</v>
      </c>
      <c r="L12">
        <v>2042.2453866741801</v>
      </c>
      <c r="M12">
        <v>4427.2280471821796</v>
      </c>
      <c r="N12">
        <v>10648.475706573499</v>
      </c>
      <c r="O12">
        <v>14906.2936087078</v>
      </c>
      <c r="P12">
        <v>29528.310428455901</v>
      </c>
      <c r="Q12">
        <v>13437.983081771399</v>
      </c>
      <c r="R12">
        <v>14682.8903122498</v>
      </c>
      <c r="S12">
        <v>12819.826162538</v>
      </c>
      <c r="T12">
        <v>12764.534267785801</v>
      </c>
      <c r="U12">
        <v>13648.9417784324</v>
      </c>
      <c r="V12">
        <v>18648.706187797499</v>
      </c>
      <c r="W12">
        <v>16337.7147360126</v>
      </c>
      <c r="X12">
        <v>16257.689636546</v>
      </c>
      <c r="Y12">
        <v>14179.586952668</v>
      </c>
      <c r="Z12">
        <v>6529.8697567515801</v>
      </c>
      <c r="AA12">
        <v>6418.49909739534</v>
      </c>
      <c r="AB12">
        <v>6637.4814203137903</v>
      </c>
      <c r="AC12">
        <v>6808.5920918166803</v>
      </c>
      <c r="AD12">
        <v>6720.8927749654904</v>
      </c>
      <c r="AE12">
        <v>6245.5857504928199</v>
      </c>
    </row>
    <row r="13" spans="1:31" x14ac:dyDescent="0.3">
      <c r="A13" s="3" t="s">
        <v>12</v>
      </c>
      <c r="B13">
        <v>28810.853824793499</v>
      </c>
      <c r="C13">
        <v>31336.761039104</v>
      </c>
      <c r="D13">
        <v>39899.865873240196</v>
      </c>
      <c r="E13">
        <v>47237.5432410992</v>
      </c>
      <c r="F13">
        <v>56742.4417344822</v>
      </c>
      <c r="G13">
        <v>42143.668742353802</v>
      </c>
      <c r="H13">
        <v>50878.518791279603</v>
      </c>
      <c r="I13">
        <v>72688.282850137897</v>
      </c>
      <c r="J13">
        <v>88034.819599999799</v>
      </c>
      <c r="K13">
        <v>133081.07870000001</v>
      </c>
      <c r="L13">
        <v>192118.71900000001</v>
      </c>
      <c r="M13">
        <v>275292.66889999999</v>
      </c>
      <c r="N13">
        <v>342409.10470000003</v>
      </c>
      <c r="O13">
        <v>401918.109</v>
      </c>
      <c r="P13">
        <v>485583.96179999999</v>
      </c>
      <c r="Q13">
        <v>522536.03220000002</v>
      </c>
      <c r="R13">
        <v>672185.40060000098</v>
      </c>
      <c r="S13">
        <v>700103.32620000001</v>
      </c>
      <c r="T13">
        <v>709704.15</v>
      </c>
      <c r="U13">
        <v>809440.02540000004</v>
      </c>
      <c r="V13">
        <v>981810.25109999999</v>
      </c>
      <c r="W13">
        <v>1107710.8452000001</v>
      </c>
      <c r="X13">
        <v>1443396.2826</v>
      </c>
      <c r="Y13">
        <v>1490290.7964000001</v>
      </c>
      <c r="Z13">
        <v>1635059.6584999999</v>
      </c>
      <c r="AA13">
        <v>1693575.2250000001</v>
      </c>
      <c r="AB13">
        <v>1680433.3964</v>
      </c>
      <c r="AC13">
        <v>1804273.8476</v>
      </c>
      <c r="AD13">
        <v>2085345.3851999999</v>
      </c>
      <c r="AE13">
        <v>1812836.024</v>
      </c>
    </row>
    <row r="14" spans="1:31" x14ac:dyDescent="0.3">
      <c r="A14" s="3" t="s">
        <v>13</v>
      </c>
      <c r="B14">
        <v>81892.286836035797</v>
      </c>
      <c r="C14">
        <v>91096.739357198094</v>
      </c>
      <c r="D14">
        <v>109176.38447170499</v>
      </c>
      <c r="E14">
        <v>113250.62644966401</v>
      </c>
      <c r="F14">
        <v>139546.04900812599</v>
      </c>
      <c r="G14">
        <v>176962.67618413901</v>
      </c>
      <c r="H14">
        <v>197221.06280000001</v>
      </c>
      <c r="I14">
        <v>200153.34150000001</v>
      </c>
      <c r="J14">
        <v>201624.695299999</v>
      </c>
      <c r="K14">
        <v>213481.7616</v>
      </c>
      <c r="L14">
        <v>256799.47500000001</v>
      </c>
      <c r="M14">
        <v>295468.09409999999</v>
      </c>
      <c r="N14">
        <v>312263.05089999997</v>
      </c>
      <c r="O14">
        <v>403405.00199999998</v>
      </c>
      <c r="P14">
        <v>554724.08250000002</v>
      </c>
      <c r="Q14">
        <v>542236.93740000005</v>
      </c>
      <c r="R14">
        <v>625364.46</v>
      </c>
      <c r="S14">
        <v>594618.35340000002</v>
      </c>
      <c r="T14">
        <v>618766.27020000003</v>
      </c>
      <c r="U14">
        <v>648131.50080000004</v>
      </c>
      <c r="V14">
        <v>695121.56400000001</v>
      </c>
      <c r="W14">
        <v>618917.82750000001</v>
      </c>
      <c r="X14">
        <v>576575.52</v>
      </c>
      <c r="Y14">
        <v>573034.05839999998</v>
      </c>
      <c r="Z14">
        <v>669307.7426</v>
      </c>
      <c r="AA14">
        <v>680127.71</v>
      </c>
      <c r="AB14">
        <v>698275.10820000002</v>
      </c>
      <c r="AC14">
        <v>745086.53029999998</v>
      </c>
      <c r="AD14">
        <v>733510.26839999994</v>
      </c>
      <c r="AE14">
        <v>750139.78</v>
      </c>
    </row>
    <row r="15" spans="1:31" x14ac:dyDescent="0.3">
      <c r="A15" s="3" t="s">
        <v>14</v>
      </c>
      <c r="B15">
        <v>259800</v>
      </c>
      <c r="C15">
        <v>275569.88169240003</v>
      </c>
      <c r="D15">
        <v>243240.29952348501</v>
      </c>
      <c r="E15">
        <v>263541.55022282101</v>
      </c>
      <c r="F15">
        <v>273904.18890472001</v>
      </c>
      <c r="G15">
        <v>272673.15004186903</v>
      </c>
      <c r="H15">
        <v>251343.46156653701</v>
      </c>
      <c r="I15">
        <v>281174.23591860698</v>
      </c>
      <c r="J15">
        <v>302283.54169514502</v>
      </c>
      <c r="K15">
        <v>308673.21560401801</v>
      </c>
      <c r="L15">
        <v>342179.95743647497</v>
      </c>
      <c r="M15">
        <v>375684.43371109403</v>
      </c>
      <c r="N15">
        <v>390597.33579781302</v>
      </c>
      <c r="O15">
        <v>454838.80141973798</v>
      </c>
      <c r="P15">
        <v>547507.15069929801</v>
      </c>
      <c r="Q15">
        <v>690817.25398284895</v>
      </c>
      <c r="R15">
        <v>753199.71404026705</v>
      </c>
      <c r="S15">
        <v>846218.60358495498</v>
      </c>
      <c r="T15">
        <v>972267.61477278301</v>
      </c>
      <c r="U15">
        <v>1054098.5240547699</v>
      </c>
      <c r="V15">
        <v>1132970.05231543</v>
      </c>
      <c r="W15">
        <v>1177193.31077346</v>
      </c>
      <c r="X15">
        <v>1260182.5348366799</v>
      </c>
      <c r="Y15">
        <v>1360318.16681949</v>
      </c>
      <c r="Z15">
        <v>1551295.29784045</v>
      </c>
      <c r="AA15">
        <v>1641088.08451482</v>
      </c>
      <c r="AB15">
        <v>1871045.1747900599</v>
      </c>
      <c r="AC15">
        <v>2022557.1090313999</v>
      </c>
      <c r="AD15">
        <v>2050818.5758730499</v>
      </c>
      <c r="AE15">
        <v>2071231.9757667501</v>
      </c>
    </row>
    <row r="16" spans="1:31" x14ac:dyDescent="0.3">
      <c r="A16" s="3" t="s">
        <v>15</v>
      </c>
      <c r="B16">
        <v>8532.7287262250593</v>
      </c>
      <c r="C16">
        <v>11504.482490230301</v>
      </c>
      <c r="D16">
        <v>15787.667674820401</v>
      </c>
      <c r="E16">
        <v>15636.025617596801</v>
      </c>
      <c r="F16">
        <v>15258.1299098778</v>
      </c>
      <c r="G16">
        <v>15337.451343382199</v>
      </c>
      <c r="H16">
        <v>15031.395556036299</v>
      </c>
      <c r="I16">
        <v>14688.5973717208</v>
      </c>
      <c r="J16">
        <v>35867.506953048702</v>
      </c>
      <c r="K16">
        <v>40302.453226941798</v>
      </c>
      <c r="L16">
        <v>48216.231551853198</v>
      </c>
      <c r="M16">
        <v>55947.115698661597</v>
      </c>
      <c r="N16">
        <v>65801.560813399701</v>
      </c>
      <c r="O16">
        <v>89790.138901296697</v>
      </c>
      <c r="P16">
        <v>102984.04429262099</v>
      </c>
      <c r="Q16">
        <v>79120.356935126998</v>
      </c>
      <c r="R16">
        <v>113857.237803</v>
      </c>
      <c r="S16">
        <v>149388.50023999999</v>
      </c>
      <c r="T16">
        <v>149208.845615</v>
      </c>
      <c r="U16">
        <v>189995.05882599999</v>
      </c>
      <c r="V16">
        <v>184561.06258078801</v>
      </c>
      <c r="W16">
        <v>198222.672970641</v>
      </c>
      <c r="X16">
        <v>191596.585018988</v>
      </c>
      <c r="Y16">
        <v>202481.706702564</v>
      </c>
      <c r="Z16">
        <v>226900.092849198</v>
      </c>
      <c r="AA16">
        <v>212682.277621677</v>
      </c>
      <c r="AB16">
        <v>223204.75752542101</v>
      </c>
      <c r="AC16">
        <v>237212.543718348</v>
      </c>
      <c r="AD16">
        <v>241987.41343340799</v>
      </c>
      <c r="AE16">
        <v>239758.77660465401</v>
      </c>
    </row>
    <row r="17" spans="1:31" x14ac:dyDescent="0.3">
      <c r="A17" s="3" t="s">
        <v>16</v>
      </c>
      <c r="B17">
        <v>120122.62352516899</v>
      </c>
      <c r="C17">
        <v>142953.477638176</v>
      </c>
      <c r="D17">
        <v>172672.02692595401</v>
      </c>
      <c r="E17">
        <v>194025.579261298</v>
      </c>
      <c r="F17">
        <v>198554.43188578199</v>
      </c>
      <c r="G17">
        <v>229000.42354934401</v>
      </c>
      <c r="H17">
        <v>260874.52799999999</v>
      </c>
      <c r="I17">
        <v>305460.81800000003</v>
      </c>
      <c r="J17">
        <v>332155.80089999997</v>
      </c>
      <c r="K17">
        <v>396530.24920000002</v>
      </c>
      <c r="L17">
        <v>2174584.1430000002</v>
      </c>
      <c r="M17">
        <v>2526605.6014</v>
      </c>
      <c r="N17">
        <v>2479729.4</v>
      </c>
      <c r="O17">
        <v>3308012.943</v>
      </c>
      <c r="P17">
        <v>4281296.6531999996</v>
      </c>
      <c r="Q17">
        <v>4227997.1253000004</v>
      </c>
      <c r="R17">
        <v>4520667.6270000003</v>
      </c>
      <c r="S17">
        <v>4526181.0785999997</v>
      </c>
      <c r="T17">
        <v>4835207.2575000003</v>
      </c>
      <c r="U17">
        <v>5183718.0930000003</v>
      </c>
      <c r="V17">
        <v>5818257.4079999998</v>
      </c>
      <c r="W17">
        <v>5351621.6771999998</v>
      </c>
      <c r="X17">
        <v>5624796.8562000003</v>
      </c>
      <c r="Y17">
        <v>5830032.0915000001</v>
      </c>
      <c r="Z17">
        <v>6832154.2505000001</v>
      </c>
      <c r="AA17">
        <v>6478949.2949999999</v>
      </c>
      <c r="AB17">
        <v>6669842.6162</v>
      </c>
      <c r="AC17">
        <v>6847328.4390000002</v>
      </c>
      <c r="AD17">
        <v>6512137.4024</v>
      </c>
      <c r="AE17">
        <v>6225027.4447999997</v>
      </c>
    </row>
    <row r="18" spans="1:31" x14ac:dyDescent="0.3">
      <c r="A18" s="3" t="s">
        <v>17</v>
      </c>
      <c r="B18">
        <v>9900.8180456399896</v>
      </c>
      <c r="C18">
        <v>11642.7425</v>
      </c>
      <c r="D18">
        <v>12568.8387</v>
      </c>
      <c r="E18">
        <v>16559.936000000002</v>
      </c>
      <c r="F18">
        <v>13172.5965</v>
      </c>
      <c r="G18">
        <v>12079.7094</v>
      </c>
      <c r="H18">
        <v>18235.576799999999</v>
      </c>
      <c r="I18">
        <v>12537.3362</v>
      </c>
      <c r="J18">
        <v>11414.200500000001</v>
      </c>
      <c r="K18">
        <v>17214.444</v>
      </c>
      <c r="L18">
        <v>20450.3</v>
      </c>
      <c r="M18">
        <v>25266.128000000001</v>
      </c>
      <c r="N18">
        <v>22122.332399999999</v>
      </c>
      <c r="O18">
        <v>23081.5182000001</v>
      </c>
      <c r="P18">
        <v>27911.213999999902</v>
      </c>
      <c r="Q18">
        <v>23411.895000000099</v>
      </c>
      <c r="R18">
        <v>24961.437900000001</v>
      </c>
      <c r="S18">
        <v>29049.308199999999</v>
      </c>
      <c r="T18">
        <v>28089.974699999901</v>
      </c>
      <c r="U18">
        <v>29359.20825</v>
      </c>
      <c r="V18">
        <v>27073.981800000001</v>
      </c>
      <c r="W18">
        <v>26911.404600000002</v>
      </c>
      <c r="X18">
        <v>24694.5727999999</v>
      </c>
      <c r="Y18">
        <v>23960.002787262201</v>
      </c>
      <c r="Z18">
        <v>24758.694109297401</v>
      </c>
      <c r="AA18">
        <v>24130.639097744399</v>
      </c>
      <c r="AB18">
        <v>22598.329741379301</v>
      </c>
      <c r="AC18">
        <v>27612.9218761292</v>
      </c>
      <c r="AD18">
        <v>26058.618569378999</v>
      </c>
      <c r="AE18">
        <v>25363.319607222002</v>
      </c>
    </row>
    <row r="19" spans="1:31" x14ac:dyDescent="0.3">
      <c r="A19" s="3" t="s">
        <v>18</v>
      </c>
      <c r="B19">
        <v>12609.736632083001</v>
      </c>
      <c r="C19">
        <v>17731.440402247899</v>
      </c>
      <c r="D19">
        <v>22519.3859787941</v>
      </c>
      <c r="E19">
        <v>25440.434613892099</v>
      </c>
      <c r="F19">
        <v>27967.248520305599</v>
      </c>
      <c r="G19">
        <v>31604.7368421053</v>
      </c>
      <c r="H19">
        <v>42448.286584986599</v>
      </c>
      <c r="I19">
        <v>46308.074814940403</v>
      </c>
      <c r="J19">
        <v>55387.278618669297</v>
      </c>
      <c r="K19">
        <v>72595.144780854796</v>
      </c>
      <c r="L19">
        <v>82615.568862275599</v>
      </c>
      <c r="M19">
        <v>92019.3708609272</v>
      </c>
      <c r="N19">
        <v>106443.574593796</v>
      </c>
      <c r="O19">
        <v>130916.453674121</v>
      </c>
      <c r="P19">
        <v>184319.593345656</v>
      </c>
      <c r="Q19">
        <v>180176.57142857101</v>
      </c>
      <c r="R19">
        <v>211519.37716263</v>
      </c>
      <c r="S19">
        <v>227448.805460751</v>
      </c>
      <c r="T19">
        <v>246955.0918197</v>
      </c>
      <c r="U19">
        <v>282833.75224416499</v>
      </c>
      <c r="V19">
        <v>273121.21710526297</v>
      </c>
      <c r="W19">
        <v>235124.49528936701</v>
      </c>
      <c r="X19">
        <v>216483.99545970501</v>
      </c>
      <c r="Y19">
        <v>225939.675174014</v>
      </c>
      <c r="Z19">
        <v>244717.90499390999</v>
      </c>
      <c r="AA19">
        <v>249299.76985040301</v>
      </c>
      <c r="AB19">
        <v>256356.83371298399</v>
      </c>
      <c r="AC19">
        <v>256904.220398593</v>
      </c>
      <c r="AD19">
        <v>280265.41950113402</v>
      </c>
      <c r="AE19">
        <v>276108.92494929</v>
      </c>
    </row>
    <row r="20" spans="1:31" x14ac:dyDescent="0.3">
      <c r="A20" s="3" t="s">
        <v>19</v>
      </c>
      <c r="B20">
        <v>2140.7773955877601</v>
      </c>
      <c r="C20">
        <v>2717.7630497712398</v>
      </c>
      <c r="D20">
        <v>3779.6550388821402</v>
      </c>
      <c r="E20">
        <v>4804.0473019289802</v>
      </c>
      <c r="F20">
        <v>6759.8401071276903</v>
      </c>
      <c r="G20">
        <v>14515.906212829799</v>
      </c>
      <c r="H20">
        <v>16191.138199999999</v>
      </c>
      <c r="I20">
        <v>24888.083500000001</v>
      </c>
      <c r="J20">
        <v>29876.951299999899</v>
      </c>
      <c r="K20">
        <v>31304.743699999999</v>
      </c>
      <c r="L20">
        <v>50021.114999999998</v>
      </c>
      <c r="M20">
        <v>62467.268100000001</v>
      </c>
      <c r="N20">
        <v>60824.152300000002</v>
      </c>
      <c r="O20">
        <v>76080.456000000006</v>
      </c>
      <c r="P20">
        <v>90908.063400000101</v>
      </c>
      <c r="Q20">
        <v>85905.465899999996</v>
      </c>
      <c r="R20">
        <v>93662.0496000001</v>
      </c>
      <c r="S20">
        <v>92566.591199999995</v>
      </c>
      <c r="T20">
        <v>92207.195699999997</v>
      </c>
      <c r="U20">
        <v>99823.165200000003</v>
      </c>
      <c r="V20">
        <v>113111.0238</v>
      </c>
      <c r="W20">
        <v>95949.108900000007</v>
      </c>
      <c r="X20">
        <v>87102.532200000001</v>
      </c>
      <c r="Y20">
        <v>87090.796100000007</v>
      </c>
      <c r="Z20">
        <v>98931.456300000005</v>
      </c>
      <c r="AA20">
        <v>89598.54</v>
      </c>
      <c r="AB20">
        <v>91229.067200000107</v>
      </c>
      <c r="AC20">
        <v>93738.168999999994</v>
      </c>
      <c r="AD20">
        <v>88799.237800000104</v>
      </c>
      <c r="AE20">
        <v>91320.158800000005</v>
      </c>
    </row>
    <row r="21" spans="1:31" x14ac:dyDescent="0.3">
      <c r="A21" s="3" t="s">
        <v>20</v>
      </c>
      <c r="B21">
        <v>25517.8815025244</v>
      </c>
      <c r="C21">
        <v>31220.822990913901</v>
      </c>
      <c r="D21">
        <v>37723.727236036902</v>
      </c>
      <c r="E21">
        <v>42041.515901733001</v>
      </c>
      <c r="F21">
        <v>52154.882598779201</v>
      </c>
      <c r="G21">
        <v>73579.843456481307</v>
      </c>
      <c r="H21">
        <v>109556.65300000001</v>
      </c>
      <c r="I21">
        <v>142681.00899999999</v>
      </c>
      <c r="J21">
        <v>153730.44680000001</v>
      </c>
      <c r="K21">
        <v>174423.97880000001</v>
      </c>
      <c r="L21">
        <v>242878.68900000001</v>
      </c>
      <c r="M21">
        <v>306159.217</v>
      </c>
      <c r="N21">
        <v>321681.7757</v>
      </c>
      <c r="O21">
        <v>465275.02799999999</v>
      </c>
      <c r="P21">
        <v>625508.53890000004</v>
      </c>
      <c r="Q21">
        <v>636359.00009999995</v>
      </c>
      <c r="R21">
        <v>693337.73040000105</v>
      </c>
      <c r="S21">
        <v>690784.66740000003</v>
      </c>
      <c r="T21">
        <v>683870.14260000002</v>
      </c>
      <c r="U21">
        <v>706627.09979999997</v>
      </c>
      <c r="V21">
        <v>740729.78009999997</v>
      </c>
      <c r="W21">
        <v>679481.99190000002</v>
      </c>
      <c r="X21">
        <v>668786.23259999999</v>
      </c>
      <c r="Y21">
        <v>697045.7611</v>
      </c>
      <c r="Z21">
        <v>809463.93709999998</v>
      </c>
      <c r="AA21">
        <v>786157</v>
      </c>
      <c r="AB21">
        <v>825083.37679999997</v>
      </c>
      <c r="AC21">
        <v>841712.06559999997</v>
      </c>
      <c r="AD21">
        <v>831849.396000001</v>
      </c>
      <c r="AE21">
        <v>831844.53980000003</v>
      </c>
    </row>
    <row r="22" spans="1:31" x14ac:dyDescent="0.3">
      <c r="A22" s="3" t="s">
        <v>21</v>
      </c>
      <c r="B22">
        <v>44559.5230926718</v>
      </c>
      <c r="C22">
        <v>59237.4187495812</v>
      </c>
      <c r="D22">
        <v>69087.741431618095</v>
      </c>
      <c r="E22">
        <v>71750.836850531196</v>
      </c>
      <c r="F22">
        <v>99628.030976259994</v>
      </c>
      <c r="G22">
        <v>99864.781044535397</v>
      </c>
      <c r="H22">
        <v>135272.023460411</v>
      </c>
      <c r="I22">
        <v>153518.09124278999</v>
      </c>
      <c r="J22">
        <v>162342.25451136599</v>
      </c>
      <c r="K22">
        <v>197849.631728045</v>
      </c>
      <c r="L22">
        <v>256379.152061425</v>
      </c>
      <c r="M22">
        <v>303244.79182414699</v>
      </c>
      <c r="N22">
        <v>294686.49477281899</v>
      </c>
      <c r="O22">
        <v>362264.58248353802</v>
      </c>
      <c r="P22">
        <v>468901.39703130798</v>
      </c>
      <c r="Q22">
        <v>452389.57314418902</v>
      </c>
      <c r="R22">
        <v>503281.38832291198</v>
      </c>
      <c r="S22">
        <v>529104.13282263</v>
      </c>
      <c r="T22">
        <v>526851.48888598499</v>
      </c>
      <c r="U22">
        <v>542298.10131447494</v>
      </c>
      <c r="V22">
        <v>577396.40088421199</v>
      </c>
      <c r="W22">
        <v>510329.47289506998</v>
      </c>
      <c r="X22">
        <v>461233.41389441799</v>
      </c>
      <c r="Y22">
        <v>454262.210059367</v>
      </c>
      <c r="Z22">
        <v>517411.06237816799</v>
      </c>
      <c r="AA22">
        <v>520002.00978093402</v>
      </c>
      <c r="AB22">
        <v>545789.14541954803</v>
      </c>
      <c r="AC22">
        <v>616273.05190040602</v>
      </c>
      <c r="AD22">
        <v>663466.10460163106</v>
      </c>
      <c r="AE22">
        <v>664131.46260297496</v>
      </c>
    </row>
    <row r="23" spans="1:31" x14ac:dyDescent="0.3">
      <c r="A23" s="3" t="s">
        <v>22</v>
      </c>
      <c r="B23">
        <v>97320.513687056504</v>
      </c>
      <c r="C23">
        <v>120709.11170415601</v>
      </c>
      <c r="D23">
        <v>154396.08865710601</v>
      </c>
      <c r="E23">
        <v>151204.396910279</v>
      </c>
      <c r="F23">
        <v>175390.02267573701</v>
      </c>
      <c r="G23">
        <v>196631.64402470001</v>
      </c>
      <c r="H23">
        <v>208999.146410252</v>
      </c>
      <c r="I23">
        <v>254059.21051023499</v>
      </c>
      <c r="J23">
        <v>274213.597801389</v>
      </c>
      <c r="K23">
        <v>321912.26132102701</v>
      </c>
      <c r="L23">
        <v>386042.175138572</v>
      </c>
      <c r="M23">
        <v>458969.83739837399</v>
      </c>
      <c r="N23">
        <v>492889.15620482399</v>
      </c>
      <c r="O23">
        <v>659384.87830861297</v>
      </c>
      <c r="P23">
        <v>824172.20879609103</v>
      </c>
      <c r="Q23">
        <v>892029.00253831001</v>
      </c>
      <c r="R23">
        <v>1067991.59728287</v>
      </c>
      <c r="S23">
        <v>1283706.49318859</v>
      </c>
      <c r="T23">
        <v>1359114.42228868</v>
      </c>
      <c r="U23">
        <v>1467876.76078052</v>
      </c>
      <c r="V23">
        <v>1458642.5888181899</v>
      </c>
      <c r="W23">
        <v>1433919.80233313</v>
      </c>
      <c r="X23">
        <v>1559071.2445235001</v>
      </c>
      <c r="Y23">
        <v>1782832.8588568899</v>
      </c>
      <c r="Z23">
        <v>1949351.05078445</v>
      </c>
      <c r="AA23">
        <v>1982292.59590014</v>
      </c>
      <c r="AB23">
        <v>2129540.1540259202</v>
      </c>
      <c r="AC23">
        <v>2265476.0400181501</v>
      </c>
      <c r="AD23">
        <v>2128426.4368544798</v>
      </c>
      <c r="AE23">
        <v>2077390.41640534</v>
      </c>
    </row>
    <row r="24" spans="1:31" x14ac:dyDescent="0.3">
      <c r="A24" s="3" t="s">
        <v>23</v>
      </c>
      <c r="B24">
        <v>250.76214953650799</v>
      </c>
      <c r="C24">
        <v>339.566584168757</v>
      </c>
      <c r="D24">
        <v>543.33821248611196</v>
      </c>
      <c r="E24">
        <v>619.67350405886395</v>
      </c>
      <c r="F24">
        <v>1039.61754034402</v>
      </c>
      <c r="G24">
        <v>1722.4519263597499</v>
      </c>
      <c r="H24">
        <v>2363.9695864598302</v>
      </c>
      <c r="I24">
        <v>3668</v>
      </c>
      <c r="J24">
        <v>4581</v>
      </c>
      <c r="K24">
        <v>5847</v>
      </c>
      <c r="L24">
        <v>6138</v>
      </c>
      <c r="M24">
        <v>7060</v>
      </c>
      <c r="N24">
        <v>8315</v>
      </c>
      <c r="O24">
        <v>8866</v>
      </c>
      <c r="P24">
        <v>12210</v>
      </c>
      <c r="Q24">
        <v>17846</v>
      </c>
      <c r="R24">
        <v>23314</v>
      </c>
      <c r="S24">
        <v>23962</v>
      </c>
      <c r="T24">
        <v>28294</v>
      </c>
      <c r="U24">
        <v>31378</v>
      </c>
      <c r="V24">
        <v>33660</v>
      </c>
      <c r="W24">
        <v>39933</v>
      </c>
      <c r="X24">
        <v>36248</v>
      </c>
      <c r="Y24">
        <v>39463</v>
      </c>
      <c r="Z24">
        <v>46999</v>
      </c>
      <c r="AA24">
        <v>46188</v>
      </c>
      <c r="AB24">
        <v>50564</v>
      </c>
      <c r="AC24">
        <v>51064</v>
      </c>
      <c r="AD24">
        <v>52682</v>
      </c>
      <c r="AE24">
        <v>55984</v>
      </c>
    </row>
    <row r="25" spans="1:31" x14ac:dyDescent="0.3">
      <c r="A25" s="3" t="s">
        <v>24</v>
      </c>
      <c r="B25">
        <v>255644.75159999999</v>
      </c>
      <c r="C25">
        <v>285298.4375</v>
      </c>
      <c r="D25">
        <v>330664.59999999998</v>
      </c>
      <c r="E25">
        <v>359391.88799999998</v>
      </c>
      <c r="F25">
        <v>384272.00660000002</v>
      </c>
      <c r="G25">
        <v>515370.59850000002</v>
      </c>
      <c r="H25">
        <v>906470.65440000105</v>
      </c>
      <c r="I25">
        <v>1141010.73</v>
      </c>
      <c r="J25">
        <v>1121704.5504000001</v>
      </c>
      <c r="K25">
        <v>1336230.554</v>
      </c>
      <c r="L25">
        <v>1556279.8163999999</v>
      </c>
      <c r="M25">
        <v>1688230.9458000001</v>
      </c>
      <c r="N25">
        <v>1642737.3694</v>
      </c>
      <c r="O25">
        <v>1947794.602</v>
      </c>
      <c r="P25">
        <v>2301071.1822000002</v>
      </c>
      <c r="Q25">
        <v>2097156.0928000002</v>
      </c>
      <c r="R25">
        <v>2043708.591</v>
      </c>
      <c r="S25">
        <v>2102435.19</v>
      </c>
      <c r="T25">
        <v>2108071.7897000001</v>
      </c>
      <c r="U25">
        <v>2227362.7799999998</v>
      </c>
      <c r="V25">
        <v>2367192.66</v>
      </c>
      <c r="W25">
        <v>2165845.6808000002</v>
      </c>
      <c r="X25">
        <v>2080150.4395000001</v>
      </c>
      <c r="Y25">
        <v>2008990.412</v>
      </c>
      <c r="Z25">
        <v>2368794.2943500001</v>
      </c>
      <c r="AA25">
        <v>2226122.9166999999</v>
      </c>
      <c r="AB25">
        <v>2528160.0816500001</v>
      </c>
      <c r="AC25">
        <v>2840302.74</v>
      </c>
      <c r="AD25">
        <v>2939404.8755999999</v>
      </c>
      <c r="AE25">
        <v>2577677.7348000002</v>
      </c>
    </row>
    <row r="26" spans="1:31" x14ac:dyDescent="0.3">
      <c r="A26" s="3" t="s">
        <v>25</v>
      </c>
      <c r="B26">
        <v>1204611</v>
      </c>
      <c r="C26">
        <v>1234084</v>
      </c>
      <c r="D26">
        <v>1493609</v>
      </c>
      <c r="E26">
        <v>1749299</v>
      </c>
      <c r="F26">
        <v>2036671</v>
      </c>
      <c r="G26">
        <v>2469095</v>
      </c>
      <c r="H26">
        <v>3051404</v>
      </c>
      <c r="I26">
        <v>2934570</v>
      </c>
      <c r="J26">
        <v>2554463</v>
      </c>
      <c r="K26">
        <v>2283141</v>
      </c>
      <c r="L26">
        <v>3037312</v>
      </c>
      <c r="M26">
        <v>3746863</v>
      </c>
      <c r="N26">
        <v>4047170</v>
      </c>
      <c r="O26">
        <v>4929892</v>
      </c>
      <c r="P26">
        <v>5857923</v>
      </c>
      <c r="Q26">
        <v>3707211</v>
      </c>
      <c r="R26">
        <v>4945292</v>
      </c>
      <c r="S26">
        <v>5486391</v>
      </c>
      <c r="T26">
        <v>5214826</v>
      </c>
      <c r="U26">
        <v>5969502</v>
      </c>
      <c r="V26">
        <v>7120688</v>
      </c>
      <c r="W26">
        <v>7242129</v>
      </c>
      <c r="X26">
        <v>7057108</v>
      </c>
      <c r="Y26">
        <v>7403191</v>
      </c>
      <c r="Z26">
        <v>8893940</v>
      </c>
      <c r="AA26">
        <v>7417363</v>
      </c>
      <c r="AB26">
        <v>8668834</v>
      </c>
      <c r="AC26">
        <v>9349445</v>
      </c>
      <c r="AD26">
        <v>10925509</v>
      </c>
      <c r="AE26">
        <v>9276999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07A8-A7BD-4247-B805-91EEF2D8166F}">
  <dimension ref="A1:AE26"/>
  <sheetViews>
    <sheetView topLeftCell="C1" workbookViewId="0">
      <selection activeCell="K9" sqref="K9"/>
    </sheetView>
  </sheetViews>
  <sheetFormatPr defaultRowHeight="14.4" x14ac:dyDescent="0.3"/>
  <cols>
    <col min="31" max="31" width="8.88671875" customWidth="1"/>
  </cols>
  <sheetData>
    <row r="1" spans="1:3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30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4.6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35939.113800000101</v>
      </c>
      <c r="C3">
        <v>46570.712400960001</v>
      </c>
      <c r="D3">
        <v>51341.675000000003</v>
      </c>
      <c r="E3">
        <v>61154.480410110198</v>
      </c>
      <c r="F3">
        <v>60327.1038242699</v>
      </c>
      <c r="G3">
        <v>73020.336689450196</v>
      </c>
      <c r="H3">
        <v>100804.84540000001</v>
      </c>
      <c r="I3">
        <v>84947.035999999905</v>
      </c>
      <c r="J3">
        <v>89130.336000000199</v>
      </c>
      <c r="K3">
        <v>87368.057199999806</v>
      </c>
      <c r="L3">
        <v>138978</v>
      </c>
      <c r="M3">
        <v>146733.21900000001</v>
      </c>
      <c r="N3">
        <v>182379.47750000001</v>
      </c>
      <c r="O3">
        <v>252366.14379999999</v>
      </c>
      <c r="P3">
        <v>325898.42720000102</v>
      </c>
      <c r="Q3">
        <v>173251.2672</v>
      </c>
      <c r="R3">
        <v>336652.31189999898</v>
      </c>
      <c r="S3">
        <v>402395.85460000002</v>
      </c>
      <c r="T3">
        <v>341019.18359999999</v>
      </c>
      <c r="U3">
        <v>398184.783</v>
      </c>
      <c r="V3">
        <v>386835.79949999898</v>
      </c>
      <c r="W3">
        <v>373755.29759999999</v>
      </c>
      <c r="X3">
        <v>335907.96200000099</v>
      </c>
      <c r="Y3">
        <v>381296.67840000102</v>
      </c>
      <c r="Z3">
        <v>458655.60000000102</v>
      </c>
      <c r="AA3">
        <v>385148.00200000103</v>
      </c>
      <c r="AB3">
        <v>462936.86319999897</v>
      </c>
      <c r="AC3">
        <v>528446.54320000205</v>
      </c>
      <c r="AD3">
        <v>583314.19360000105</v>
      </c>
      <c r="AE3">
        <v>565014.67500000098</v>
      </c>
    </row>
    <row r="4" spans="1:31" x14ac:dyDescent="0.3">
      <c r="A4" s="3" t="s">
        <v>3</v>
      </c>
      <c r="B4">
        <v>3590.5459935765498</v>
      </c>
      <c r="C4">
        <v>5378.7947853040396</v>
      </c>
      <c r="D4">
        <v>6988.5011895321204</v>
      </c>
      <c r="E4">
        <v>9056.0525835311291</v>
      </c>
      <c r="F4">
        <v>15661.679727697299</v>
      </c>
      <c r="G4">
        <v>15622.805822763299</v>
      </c>
      <c r="H4">
        <v>14745.0165</v>
      </c>
      <c r="I4">
        <v>19569.345499999999</v>
      </c>
      <c r="J4">
        <v>14919.7972262164</v>
      </c>
      <c r="K4">
        <v>17235.445140028802</v>
      </c>
      <c r="L4">
        <v>26470.539786977999</v>
      </c>
      <c r="M4">
        <v>45181.276815565201</v>
      </c>
      <c r="N4">
        <v>59235.693310504503</v>
      </c>
      <c r="O4">
        <v>92955.176999999996</v>
      </c>
      <c r="P4">
        <v>105124.13310000001</v>
      </c>
      <c r="Q4">
        <v>46804.262699999999</v>
      </c>
      <c r="R4">
        <v>60307.837800000001</v>
      </c>
      <c r="S4">
        <v>62709.2022</v>
      </c>
      <c r="T4">
        <v>47413.671600000001</v>
      </c>
      <c r="U4">
        <v>57855.69</v>
      </c>
      <c r="V4">
        <v>65576.205000000002</v>
      </c>
      <c r="W4">
        <v>54785.0484</v>
      </c>
      <c r="X4">
        <v>54703.908900000002</v>
      </c>
      <c r="Y4">
        <v>56828.639199999998</v>
      </c>
      <c r="Z4">
        <v>85998.205100000006</v>
      </c>
      <c r="AA4">
        <v>63700.93</v>
      </c>
      <c r="AB4">
        <v>73615.278600000005</v>
      </c>
      <c r="AC4">
        <v>78889.031900000002</v>
      </c>
      <c r="AD4">
        <v>92830.161200000104</v>
      </c>
      <c r="AE4">
        <v>67491.248200000002</v>
      </c>
    </row>
    <row r="5" spans="1:31" x14ac:dyDescent="0.3">
      <c r="A5" s="3" t="s">
        <v>4</v>
      </c>
      <c r="B5">
        <v>8252.5616172805294</v>
      </c>
      <c r="C5">
        <v>9736.94542599136</v>
      </c>
      <c r="D5">
        <v>10011.898691144001</v>
      </c>
      <c r="E5">
        <v>11173.2541790345</v>
      </c>
      <c r="F5">
        <v>12099.1332611051</v>
      </c>
      <c r="G5">
        <v>17842.629683726402</v>
      </c>
      <c r="H5">
        <v>15470.84</v>
      </c>
      <c r="I5">
        <v>14236.65</v>
      </c>
      <c r="J5">
        <v>15663.3449</v>
      </c>
      <c r="K5">
        <v>18059.662700000001</v>
      </c>
      <c r="L5">
        <v>27884.513999999999</v>
      </c>
      <c r="M5">
        <v>44250.542699999998</v>
      </c>
      <c r="N5">
        <v>43015.401100000003</v>
      </c>
      <c r="O5">
        <v>57745.182000000001</v>
      </c>
      <c r="P5">
        <v>72899.864100000093</v>
      </c>
      <c r="Q5">
        <v>55814.128499999999</v>
      </c>
      <c r="R5">
        <v>107402.4924</v>
      </c>
      <c r="S5">
        <v>107017.59420000001</v>
      </c>
      <c r="T5">
        <v>99243.423899999994</v>
      </c>
      <c r="U5">
        <v>141514.88579999999</v>
      </c>
      <c r="V5">
        <v>187040.4375</v>
      </c>
      <c r="W5">
        <v>195273.41579999999</v>
      </c>
      <c r="X5">
        <v>215728.08240000001</v>
      </c>
      <c r="Y5">
        <v>219182.1753</v>
      </c>
      <c r="Z5">
        <v>264747.87359999999</v>
      </c>
      <c r="AA5">
        <v>190408.92</v>
      </c>
      <c r="AB5">
        <v>235456.77619999999</v>
      </c>
      <c r="AC5">
        <v>229875.09719999999</v>
      </c>
      <c r="AD5">
        <v>241155.4572</v>
      </c>
      <c r="AE5">
        <v>199455.2666</v>
      </c>
    </row>
    <row r="6" spans="1:31" x14ac:dyDescent="0.3">
      <c r="A6" s="3" t="s">
        <v>5</v>
      </c>
      <c r="B6">
        <v>41005.8431482628</v>
      </c>
      <c r="C6">
        <v>44812.445594097502</v>
      </c>
      <c r="D6">
        <v>57054.989871081198</v>
      </c>
      <c r="E6">
        <v>79913.583268107497</v>
      </c>
      <c r="F6">
        <v>84974.6798684487</v>
      </c>
      <c r="G6">
        <v>92862.1804325384</v>
      </c>
      <c r="H6">
        <v>145243.82386129</v>
      </c>
      <c r="I6">
        <v>152328.55815091301</v>
      </c>
      <c r="J6">
        <v>113270.302130478</v>
      </c>
      <c r="K6">
        <v>99394.956951126893</v>
      </c>
      <c r="L6">
        <v>172321.60394924201</v>
      </c>
      <c r="M6">
        <v>225899.23636091701</v>
      </c>
      <c r="N6">
        <v>280843.38834950601</v>
      </c>
      <c r="O6">
        <v>346101.12637089199</v>
      </c>
      <c r="P6">
        <v>418081.02688836597</v>
      </c>
      <c r="Q6">
        <v>209170.890358292</v>
      </c>
      <c r="R6">
        <v>353642.88181982702</v>
      </c>
      <c r="S6">
        <v>462355.37881700299</v>
      </c>
      <c r="T6">
        <v>409846.95258106902</v>
      </c>
      <c r="U6">
        <v>442094.379695346</v>
      </c>
      <c r="V6">
        <v>432507.143778864</v>
      </c>
      <c r="W6">
        <v>449884.49746918399</v>
      </c>
      <c r="X6">
        <v>357797.21026011597</v>
      </c>
      <c r="Y6">
        <v>463699.334177404</v>
      </c>
      <c r="Z6">
        <v>586724.58509366296</v>
      </c>
      <c r="AA6">
        <v>507835.457811011</v>
      </c>
      <c r="AB6">
        <v>625580.04058503697</v>
      </c>
      <c r="AC6">
        <v>638867.228531425</v>
      </c>
      <c r="AD6">
        <v>791566.09716284496</v>
      </c>
      <c r="AE6">
        <v>702797.34984929801</v>
      </c>
    </row>
    <row r="7" spans="1:31" x14ac:dyDescent="0.3">
      <c r="A7" s="3" t="s">
        <v>6</v>
      </c>
      <c r="B7">
        <v>3248.4311554079</v>
      </c>
      <c r="C7">
        <v>6740.0953476902796</v>
      </c>
      <c r="D7">
        <v>8294.2661377569402</v>
      </c>
      <c r="E7">
        <v>12448.4817898898</v>
      </c>
      <c r="F7">
        <v>20363.3167301494</v>
      </c>
      <c r="G7">
        <v>20556.1731777969</v>
      </c>
      <c r="H7">
        <v>20740.2551765151</v>
      </c>
      <c r="I7">
        <v>26023.315254659901</v>
      </c>
      <c r="J7">
        <v>23842.399503061999</v>
      </c>
      <c r="K7">
        <v>20671.5025386179</v>
      </c>
      <c r="L7">
        <v>31257.850094165398</v>
      </c>
      <c r="M7">
        <v>44458.7825510279</v>
      </c>
      <c r="N7">
        <v>49096.630350563697</v>
      </c>
      <c r="O7">
        <v>62886.388525806302</v>
      </c>
      <c r="P7">
        <v>83226.213228774694</v>
      </c>
      <c r="Q7">
        <v>45686.200306533698</v>
      </c>
      <c r="R7">
        <v>67033.390493439394</v>
      </c>
      <c r="S7">
        <v>92773.591292109806</v>
      </c>
      <c r="T7">
        <v>78595.446950710102</v>
      </c>
      <c r="U7">
        <v>107299.570603099</v>
      </c>
      <c r="V7">
        <v>146634.581632088</v>
      </c>
      <c r="W7">
        <v>165487.63354788101</v>
      </c>
      <c r="X7">
        <v>202786.82284040999</v>
      </c>
      <c r="Y7">
        <v>172432.65086206899</v>
      </c>
      <c r="Z7">
        <v>236789.63223093899</v>
      </c>
      <c r="AA7">
        <v>186778.99806730699</v>
      </c>
      <c r="AB7">
        <v>238411.150556479</v>
      </c>
      <c r="AC7">
        <v>343747.853935552</v>
      </c>
      <c r="AD7">
        <v>412086.813387795</v>
      </c>
      <c r="AE7">
        <v>373504.77611083997</v>
      </c>
    </row>
    <row r="8" spans="1:31" x14ac:dyDescent="0.3">
      <c r="A8" s="3" t="s">
        <v>7</v>
      </c>
      <c r="B8">
        <v>5251.1020831532496</v>
      </c>
      <c r="C8">
        <v>12767.330072524899</v>
      </c>
      <c r="D8">
        <v>14625.3384114165</v>
      </c>
      <c r="E8">
        <v>23456.792781929002</v>
      </c>
      <c r="F8">
        <v>28870.256608924999</v>
      </c>
      <c r="G8">
        <v>79721.742543171102</v>
      </c>
      <c r="H8">
        <v>219531.21960000001</v>
      </c>
      <c r="I8">
        <v>204361.0625</v>
      </c>
      <c r="J8">
        <v>128038.7892</v>
      </c>
      <c r="K8">
        <v>89172.754277</v>
      </c>
      <c r="L8">
        <v>103315.10505</v>
      </c>
      <c r="M8">
        <v>102974.337749</v>
      </c>
      <c r="N8">
        <v>119951.966782</v>
      </c>
      <c r="O8">
        <v>154812.79686</v>
      </c>
      <c r="P8">
        <v>229908.30890999999</v>
      </c>
      <c r="Q8">
        <v>96964.178522999995</v>
      </c>
      <c r="R8">
        <v>104051.700018</v>
      </c>
      <c r="S8">
        <v>97396.473167999997</v>
      </c>
      <c r="T8">
        <v>66877.770483</v>
      </c>
      <c r="U8">
        <v>83513.454876000003</v>
      </c>
      <c r="V8">
        <v>113430.97500000001</v>
      </c>
      <c r="W8">
        <v>110717.4213</v>
      </c>
      <c r="X8">
        <v>112005.45600000001</v>
      </c>
      <c r="Y8">
        <v>119495.93829999999</v>
      </c>
      <c r="Z8">
        <v>147852.10260000001</v>
      </c>
      <c r="AA8">
        <v>160208.4</v>
      </c>
      <c r="AB8">
        <v>167796.641</v>
      </c>
      <c r="AC8">
        <v>203844.6249</v>
      </c>
      <c r="AD8">
        <v>247221.66279999999</v>
      </c>
      <c r="AE8">
        <v>194283.32320000001</v>
      </c>
    </row>
    <row r="9" spans="1:31" x14ac:dyDescent="0.3">
      <c r="A9" s="3" t="s">
        <v>8</v>
      </c>
      <c r="B9">
        <v>103818.1663981</v>
      </c>
      <c r="C9">
        <v>102207.25776281299</v>
      </c>
      <c r="D9">
        <v>120755.102040816</v>
      </c>
      <c r="E9">
        <v>155317.93011265999</v>
      </c>
      <c r="F9">
        <v>208580.35102954201</v>
      </c>
      <c r="G9">
        <v>300439.33761405898</v>
      </c>
      <c r="H9">
        <v>482208</v>
      </c>
      <c r="I9">
        <v>502116.41</v>
      </c>
      <c r="J9">
        <v>415991.22599999898</v>
      </c>
      <c r="K9">
        <v>345112.48820000002</v>
      </c>
      <c r="L9">
        <v>490900.31400000001</v>
      </c>
      <c r="M9">
        <v>593864.70319999999</v>
      </c>
      <c r="N9">
        <v>690443.01899999997</v>
      </c>
      <c r="O9">
        <v>990330.00300000003</v>
      </c>
      <c r="P9">
        <v>1060372.7672999999</v>
      </c>
      <c r="Q9">
        <v>624815.83949040005</v>
      </c>
      <c r="R9">
        <v>825769.74166260101</v>
      </c>
      <c r="S9">
        <v>774024.13096440001</v>
      </c>
      <c r="T9">
        <v>647730.56975909998</v>
      </c>
      <c r="U9">
        <v>810994.27859999996</v>
      </c>
      <c r="V9">
        <v>1009175.7324</v>
      </c>
      <c r="W9">
        <v>902179.49849999999</v>
      </c>
      <c r="X9">
        <v>853477.65540000005</v>
      </c>
      <c r="Y9">
        <v>867849.17362000002</v>
      </c>
      <c r="Z9">
        <v>1096312.39117</v>
      </c>
      <c r="AA9">
        <v>920743.16249999998</v>
      </c>
      <c r="AB9">
        <v>1071665.96958</v>
      </c>
      <c r="AC9">
        <v>1113341.6945</v>
      </c>
      <c r="AD9">
        <v>1325564.7995800001</v>
      </c>
      <c r="AE9">
        <v>1117951.56366</v>
      </c>
    </row>
    <row r="10" spans="1:31" x14ac:dyDescent="0.3">
      <c r="A10" s="3" t="s">
        <v>9</v>
      </c>
      <c r="B10">
        <v>93608.295197821906</v>
      </c>
      <c r="C10">
        <v>99506.069214875999</v>
      </c>
      <c r="D10">
        <v>110776.421346355</v>
      </c>
      <c r="E10">
        <v>140288.783123231</v>
      </c>
      <c r="F10">
        <v>186976.17320461999</v>
      </c>
      <c r="G10">
        <v>289976.09085475199</v>
      </c>
      <c r="H10">
        <v>375408.97399999999</v>
      </c>
      <c r="I10">
        <v>300752.48800000001</v>
      </c>
      <c r="J10">
        <v>294687.33139999898</v>
      </c>
      <c r="K10">
        <v>212677.4087</v>
      </c>
      <c r="L10">
        <v>362453.21399999998</v>
      </c>
      <c r="M10">
        <v>399719.14179999998</v>
      </c>
      <c r="N10">
        <v>449332.39390000002</v>
      </c>
      <c r="O10">
        <v>820184.13899999997</v>
      </c>
      <c r="P10">
        <v>1173072.327</v>
      </c>
      <c r="Q10">
        <v>525103.71869999997</v>
      </c>
      <c r="R10">
        <v>768754.58100000105</v>
      </c>
      <c r="S10">
        <v>831259.37340000004</v>
      </c>
      <c r="T10">
        <v>728749.06409999996</v>
      </c>
      <c r="U10">
        <v>939540.7818</v>
      </c>
      <c r="V10">
        <v>1249522.5222</v>
      </c>
      <c r="W10">
        <v>1180321.3097999999</v>
      </c>
      <c r="X10">
        <v>1129649.2731000001</v>
      </c>
      <c r="Y10">
        <v>1124478.0405999999</v>
      </c>
      <c r="Z10">
        <v>1445552.2690000001</v>
      </c>
      <c r="AA10">
        <v>1120312.655</v>
      </c>
      <c r="AB10">
        <v>1320899.3370000001</v>
      </c>
      <c r="AC10">
        <v>1438562.4617000001</v>
      </c>
      <c r="AD10">
        <v>1493735.173</v>
      </c>
      <c r="AE10">
        <v>1093135.9413999999</v>
      </c>
    </row>
    <row r="11" spans="1:31" x14ac:dyDescent="0.3">
      <c r="A11" s="3" t="s">
        <v>10</v>
      </c>
      <c r="B11">
        <v>1450.9923185904599</v>
      </c>
      <c r="C11">
        <v>2111.8727033519199</v>
      </c>
      <c r="D11">
        <v>2917.6321492100401</v>
      </c>
      <c r="E11">
        <v>4368.4294329615896</v>
      </c>
      <c r="F11">
        <v>5625.0040272614597</v>
      </c>
      <c r="G11">
        <v>12001</v>
      </c>
      <c r="H11">
        <v>15210.6486</v>
      </c>
      <c r="I11">
        <v>9584.15</v>
      </c>
      <c r="J11">
        <v>7711.37499999998</v>
      </c>
      <c r="K11">
        <v>8425.2558000000008</v>
      </c>
      <c r="L11">
        <v>16139.877</v>
      </c>
      <c r="M11">
        <v>28386.164000000001</v>
      </c>
      <c r="N11">
        <v>37962.745999999999</v>
      </c>
      <c r="O11">
        <v>60247.482000000004</v>
      </c>
      <c r="P11">
        <v>93547.538700000106</v>
      </c>
      <c r="Q11">
        <v>23892.705600000001</v>
      </c>
      <c r="R11">
        <v>28114.749599999999</v>
      </c>
      <c r="S11">
        <v>17106.0324</v>
      </c>
      <c r="T11">
        <v>7480.0358999999999</v>
      </c>
      <c r="U11">
        <v>10391.5944</v>
      </c>
      <c r="V11">
        <v>13300.0404</v>
      </c>
      <c r="W11">
        <v>16945.1937</v>
      </c>
      <c r="X11">
        <v>16539.5304</v>
      </c>
      <c r="Y11">
        <v>14755.291800000001</v>
      </c>
      <c r="Z11">
        <v>19074.8665</v>
      </c>
      <c r="AA11">
        <v>13103.38</v>
      </c>
      <c r="AB11">
        <v>18916.9326</v>
      </c>
      <c r="AC11">
        <v>15289.665999999999</v>
      </c>
      <c r="AD11">
        <v>21970.174800000001</v>
      </c>
      <c r="AE11">
        <v>25219.757000000001</v>
      </c>
    </row>
    <row r="12" spans="1:31" x14ac:dyDescent="0.3">
      <c r="A12" s="3" t="s">
        <v>11</v>
      </c>
      <c r="B12">
        <v>0.46433676214610098</v>
      </c>
      <c r="C12">
        <v>0.60383707695394295</v>
      </c>
      <c r="D12">
        <v>1.0280768729620999</v>
      </c>
      <c r="E12">
        <v>2.4370003038158301</v>
      </c>
      <c r="F12">
        <v>1.72920045750212</v>
      </c>
      <c r="G12">
        <v>6.4168630933272697</v>
      </c>
      <c r="H12">
        <v>60.372451308900501</v>
      </c>
      <c r="I12">
        <v>30.747257720449799</v>
      </c>
      <c r="J12">
        <v>117.82418649829999</v>
      </c>
      <c r="K12">
        <v>236.41102010424399</v>
      </c>
      <c r="L12">
        <v>292.97084096351603</v>
      </c>
      <c r="M12">
        <v>781.25819134993503</v>
      </c>
      <c r="N12">
        <v>3722.0069863448698</v>
      </c>
      <c r="O12">
        <v>4992.31091264304</v>
      </c>
      <c r="P12">
        <v>5845.3839935327396</v>
      </c>
      <c r="Q12">
        <v>103.665616188423</v>
      </c>
      <c r="R12">
        <v>493.85108086469199</v>
      </c>
      <c r="S12">
        <v>465.962624945676</v>
      </c>
      <c r="T12">
        <v>465.21880857305803</v>
      </c>
      <c r="U12">
        <v>463.98945654701902</v>
      </c>
      <c r="V12">
        <v>590.72263089571595</v>
      </c>
      <c r="W12">
        <v>599.49566587864501</v>
      </c>
      <c r="X12">
        <v>713.96712709313999</v>
      </c>
      <c r="Y12">
        <v>802.62364828931095</v>
      </c>
      <c r="Z12">
        <v>1223.4820915533401</v>
      </c>
      <c r="AA12">
        <v>1397.69620906043</v>
      </c>
      <c r="AB12">
        <v>2652.1882741535901</v>
      </c>
      <c r="AC12">
        <v>2936.1370961402399</v>
      </c>
      <c r="AD12">
        <v>3035.6496395152599</v>
      </c>
      <c r="AE12">
        <v>2069.3185018304698</v>
      </c>
    </row>
    <row r="13" spans="1:31" x14ac:dyDescent="0.3">
      <c r="A13" s="3" t="s">
        <v>12</v>
      </c>
      <c r="B13">
        <v>16319.9745477178</v>
      </c>
      <c r="C13">
        <v>20612.312519304</v>
      </c>
      <c r="D13">
        <v>30857.853182531599</v>
      </c>
      <c r="E13">
        <v>44596.626229295201</v>
      </c>
      <c r="F13">
        <v>63195.042509999999</v>
      </c>
      <c r="G13">
        <v>109688.501</v>
      </c>
      <c r="H13">
        <v>160645.58600000001</v>
      </c>
      <c r="I13">
        <v>217502.514</v>
      </c>
      <c r="J13">
        <v>279224.92289999902</v>
      </c>
      <c r="K13">
        <v>343771.2009</v>
      </c>
      <c r="L13">
        <v>481711.989</v>
      </c>
      <c r="M13">
        <v>613830.36499999999</v>
      </c>
      <c r="N13">
        <v>712329.99309999996</v>
      </c>
      <c r="O13">
        <v>950794.98</v>
      </c>
      <c r="P13">
        <v>1155092.0976</v>
      </c>
      <c r="Q13">
        <v>889190.530800001</v>
      </c>
      <c r="R13">
        <v>1177526.2716000001</v>
      </c>
      <c r="S13">
        <v>1407712.0878000001</v>
      </c>
      <c r="T13">
        <v>1482030.4722</v>
      </c>
      <c r="U13">
        <v>1771677.1259999999</v>
      </c>
      <c r="V13">
        <v>2092944.2256</v>
      </c>
      <c r="W13">
        <v>2351774.8332000002</v>
      </c>
      <c r="X13">
        <v>2518357.9772999999</v>
      </c>
      <c r="Y13">
        <v>2582621.9493</v>
      </c>
      <c r="Z13">
        <v>3244307.9824000001</v>
      </c>
      <c r="AA13">
        <v>3122831.78</v>
      </c>
      <c r="AB13">
        <v>3816112.2853999999</v>
      </c>
      <c r="AC13">
        <v>4479826.7352999998</v>
      </c>
      <c r="AD13">
        <v>5191368.3710000003</v>
      </c>
      <c r="AE13">
        <v>4279407.1869999999</v>
      </c>
    </row>
    <row r="14" spans="1:31" x14ac:dyDescent="0.3">
      <c r="A14" s="3" t="s">
        <v>13</v>
      </c>
      <c r="B14">
        <v>39717.947554104197</v>
      </c>
      <c r="C14">
        <v>39699.746579163802</v>
      </c>
      <c r="D14">
        <v>58679.4909993029</v>
      </c>
      <c r="E14">
        <v>97281.610720326207</v>
      </c>
      <c r="F14">
        <v>140964.883893433</v>
      </c>
      <c r="G14">
        <v>230761.599419273</v>
      </c>
      <c r="H14">
        <v>196208.42600000001</v>
      </c>
      <c r="I14">
        <v>195863.7365</v>
      </c>
      <c r="J14">
        <v>156569.11410000001</v>
      </c>
      <c r="K14">
        <v>154973.73989999999</v>
      </c>
      <c r="L14">
        <v>213863.79</v>
      </c>
      <c r="M14">
        <v>291745.47480000003</v>
      </c>
      <c r="N14">
        <v>292877.04080000002</v>
      </c>
      <c r="O14">
        <v>400416.72899999999</v>
      </c>
      <c r="P14">
        <v>419413.06679999997</v>
      </c>
      <c r="Q14">
        <v>186156.5754</v>
      </c>
      <c r="R14">
        <v>245736.10740000001</v>
      </c>
      <c r="S14">
        <v>203909.46479999999</v>
      </c>
      <c r="T14">
        <v>150488.3334</v>
      </c>
      <c r="U14">
        <v>203425.092</v>
      </c>
      <c r="V14">
        <v>262747.5111</v>
      </c>
      <c r="W14">
        <v>248049.1287</v>
      </c>
      <c r="X14">
        <v>276953.30430000002</v>
      </c>
      <c r="Y14">
        <v>228770.2689</v>
      </c>
      <c r="Z14">
        <v>315928.00109999999</v>
      </c>
      <c r="AA14">
        <v>249037.5</v>
      </c>
      <c r="AB14">
        <v>320336.38660000003</v>
      </c>
      <c r="AC14">
        <v>313440.60720000003</v>
      </c>
      <c r="AD14">
        <v>339544.4192</v>
      </c>
      <c r="AE14">
        <v>268647.74180000002</v>
      </c>
    </row>
    <row r="15" spans="1:31" x14ac:dyDescent="0.3">
      <c r="A15" s="3" t="s">
        <v>14</v>
      </c>
      <c r="B15">
        <v>171170</v>
      </c>
      <c r="C15">
        <v>250879.386404652</v>
      </c>
      <c r="D15">
        <v>306282.21336185897</v>
      </c>
      <c r="E15">
        <v>312550.29327504698</v>
      </c>
      <c r="F15">
        <v>277310.16685605998</v>
      </c>
      <c r="G15">
        <v>302013.45436665299</v>
      </c>
      <c r="H15">
        <v>825970.42501996097</v>
      </c>
      <c r="I15">
        <v>550232.95418895199</v>
      </c>
      <c r="J15">
        <v>376048.35472759901</v>
      </c>
      <c r="K15">
        <v>339928.26796889998</v>
      </c>
      <c r="L15">
        <v>561022.13177504996</v>
      </c>
      <c r="M15">
        <v>743302.21884610096</v>
      </c>
      <c r="N15">
        <v>1126068.4919894901</v>
      </c>
      <c r="O15">
        <v>1254952.7544941599</v>
      </c>
      <c r="P15">
        <v>1245889.78769965</v>
      </c>
      <c r="Q15">
        <v>756199.82332473795</v>
      </c>
      <c r="R15">
        <v>829589.24009048496</v>
      </c>
      <c r="S15">
        <v>988790.62016942899</v>
      </c>
      <c r="T15">
        <v>847162.08631497703</v>
      </c>
      <c r="U15">
        <v>965403.32285338</v>
      </c>
      <c r="V15">
        <v>1446563.1605092101</v>
      </c>
      <c r="W15">
        <v>1402053.6666419101</v>
      </c>
      <c r="X15">
        <v>1551198.86576398</v>
      </c>
      <c r="Y15">
        <v>1554199.03989961</v>
      </c>
      <c r="Z15">
        <v>1947221.5577395901</v>
      </c>
      <c r="AA15">
        <v>1590728.42430533</v>
      </c>
      <c r="AB15">
        <v>1923781.1735252501</v>
      </c>
      <c r="AC15">
        <v>2119865.57523653</v>
      </c>
      <c r="AD15">
        <v>2136321.7554802801</v>
      </c>
      <c r="AE15">
        <v>1706284.9795905901</v>
      </c>
    </row>
    <row r="16" spans="1:31" x14ac:dyDescent="0.3">
      <c r="A16" s="3" t="s">
        <v>15</v>
      </c>
      <c r="B16">
        <v>48570.367941053199</v>
      </c>
      <c r="C16">
        <v>30351.578777856499</v>
      </c>
      <c r="D16">
        <v>24204.041232249201</v>
      </c>
      <c r="E16">
        <v>30348.310960868799</v>
      </c>
      <c r="F16">
        <v>48767.003346198602</v>
      </c>
      <c r="G16">
        <v>31529.511246718601</v>
      </c>
      <c r="H16">
        <v>59904.37144553</v>
      </c>
      <c r="I16">
        <v>47291.188150502101</v>
      </c>
      <c r="J16">
        <v>54939.53</v>
      </c>
      <c r="K16">
        <v>44563.5</v>
      </c>
      <c r="L16">
        <v>56515.88</v>
      </c>
      <c r="M16">
        <v>73966.59</v>
      </c>
      <c r="N16">
        <v>106558.723847</v>
      </c>
      <c r="O16">
        <v>154231.90714900001</v>
      </c>
      <c r="P16">
        <v>154433.10607800001</v>
      </c>
      <c r="Q16">
        <v>148697.19</v>
      </c>
      <c r="R16">
        <v>134384.01703399999</v>
      </c>
      <c r="S16">
        <v>161334.010316</v>
      </c>
      <c r="T16">
        <v>129323.234532</v>
      </c>
      <c r="U16">
        <v>171554.938039</v>
      </c>
      <c r="V16">
        <v>168242.699272</v>
      </c>
      <c r="W16">
        <v>153096.58676199999</v>
      </c>
      <c r="X16">
        <v>134145.84124199999</v>
      </c>
      <c r="Y16">
        <v>125367.595219</v>
      </c>
      <c r="Z16">
        <v>151695.500098761</v>
      </c>
      <c r="AA16">
        <v>135361.60585578001</v>
      </c>
      <c r="AB16">
        <v>149194.77223039599</v>
      </c>
      <c r="AC16">
        <v>139862.21767298199</v>
      </c>
      <c r="AD16">
        <v>157691.623573644</v>
      </c>
      <c r="AE16">
        <v>147152.01225919399</v>
      </c>
    </row>
    <row r="17" spans="1:31" x14ac:dyDescent="0.3">
      <c r="A17" s="3" t="s">
        <v>16</v>
      </c>
      <c r="B17">
        <v>92380.081405533507</v>
      </c>
      <c r="C17">
        <v>105238.55143795699</v>
      </c>
      <c r="D17">
        <v>129955.123410621</v>
      </c>
      <c r="E17">
        <v>179628.35512732301</v>
      </c>
      <c r="F17">
        <v>224691.65179456701</v>
      </c>
      <c r="G17">
        <v>308671.11393477302</v>
      </c>
      <c r="H17">
        <v>363795.79800000001</v>
      </c>
      <c r="I17">
        <v>350571.45799999998</v>
      </c>
      <c r="J17">
        <v>283977.77380000002</v>
      </c>
      <c r="K17">
        <v>262250.50640000001</v>
      </c>
      <c r="L17">
        <v>325418.26500000001</v>
      </c>
      <c r="M17">
        <v>380574.82630000002</v>
      </c>
      <c r="N17">
        <v>548090.97939999995</v>
      </c>
      <c r="O17">
        <v>700123.78500000003</v>
      </c>
      <c r="P17">
        <v>685184.52870000002</v>
      </c>
      <c r="Q17">
        <v>359648.68079999997</v>
      </c>
      <c r="R17">
        <v>472610.43900000001</v>
      </c>
      <c r="S17">
        <v>507373.8468</v>
      </c>
      <c r="T17">
        <v>475536.71580000001</v>
      </c>
      <c r="U17">
        <v>522035.12339999998</v>
      </c>
      <c r="V17">
        <v>629768.77320000005</v>
      </c>
      <c r="W17">
        <v>626805.83519999997</v>
      </c>
      <c r="X17">
        <v>767934.14159999997</v>
      </c>
      <c r="Y17">
        <v>905341.19160000002</v>
      </c>
      <c r="Z17">
        <v>1162121.7</v>
      </c>
      <c r="AA17">
        <v>960906.9</v>
      </c>
      <c r="AB17">
        <v>1177235.5748000001</v>
      </c>
      <c r="AC17">
        <v>1198572.3792000001</v>
      </c>
      <c r="AD17">
        <v>1438767.8297999999</v>
      </c>
      <c r="AE17">
        <v>1038087.6488</v>
      </c>
    </row>
    <row r="18" spans="1:31" x14ac:dyDescent="0.3">
      <c r="A18" s="3" t="s">
        <v>17</v>
      </c>
      <c r="B18">
        <v>3722.4353093661298</v>
      </c>
      <c r="C18">
        <v>4565.52581915885</v>
      </c>
      <c r="D18">
        <v>6210.15743854845</v>
      </c>
      <c r="E18">
        <v>7685.54593935501</v>
      </c>
      <c r="F18">
        <v>7467.5298000000003</v>
      </c>
      <c r="G18">
        <v>6870.9883530173602</v>
      </c>
      <c r="H18">
        <v>7891.4715648436204</v>
      </c>
      <c r="I18">
        <v>4582.0418</v>
      </c>
      <c r="J18">
        <v>4169.9579999999996</v>
      </c>
      <c r="K18">
        <v>5651.97749999999</v>
      </c>
      <c r="L18">
        <v>8964.7999999999902</v>
      </c>
      <c r="M18">
        <v>12077.7408</v>
      </c>
      <c r="N18">
        <v>11489.0854</v>
      </c>
      <c r="O18">
        <v>11818.177799999999</v>
      </c>
      <c r="P18">
        <v>12533.382</v>
      </c>
      <c r="Q18">
        <v>5738.1415000000097</v>
      </c>
      <c r="R18">
        <v>9232.7080999999998</v>
      </c>
      <c r="S18">
        <v>9229.4761999999992</v>
      </c>
      <c r="T18">
        <v>8864.5508999999693</v>
      </c>
      <c r="U18">
        <v>11778.79</v>
      </c>
      <c r="V18">
        <v>16542.613799999999</v>
      </c>
      <c r="W18">
        <v>21831.166499999999</v>
      </c>
      <c r="X18">
        <v>22801.785599999901</v>
      </c>
      <c r="Y18">
        <v>26819.7338164588</v>
      </c>
      <c r="Z18">
        <v>30493.967352732401</v>
      </c>
      <c r="AA18">
        <v>33238.453276047301</v>
      </c>
      <c r="AB18">
        <v>43364.7629310345</v>
      </c>
      <c r="AC18">
        <v>59752.1138975211</v>
      </c>
      <c r="AD18">
        <v>54294.5958871353</v>
      </c>
      <c r="AE18">
        <v>41997.465948685502</v>
      </c>
    </row>
    <row r="19" spans="1:31" x14ac:dyDescent="0.3">
      <c r="A19" s="3" t="s">
        <v>18</v>
      </c>
      <c r="B19">
        <v>9558.6625317485395</v>
      </c>
      <c r="C19">
        <v>12663.8041093802</v>
      </c>
      <c r="D19">
        <v>14136.8470635839</v>
      </c>
      <c r="E19">
        <v>17644.6528026386</v>
      </c>
      <c r="F19">
        <v>17310.016964734201</v>
      </c>
      <c r="G19">
        <v>11907.232911212101</v>
      </c>
      <c r="H19">
        <v>14253.569364892601</v>
      </c>
      <c r="I19">
        <v>15581.198681931701</v>
      </c>
      <c r="J19">
        <v>15977.432000000001</v>
      </c>
      <c r="K19">
        <v>15319.972</v>
      </c>
      <c r="L19">
        <v>22512.701000000001</v>
      </c>
      <c r="M19">
        <v>40549.337748344398</v>
      </c>
      <c r="N19">
        <v>58822.0088626293</v>
      </c>
      <c r="O19">
        <v>100857.188498403</v>
      </c>
      <c r="P19">
        <v>132994.45471349399</v>
      </c>
      <c r="Q19">
        <v>40754.571428571398</v>
      </c>
      <c r="R19">
        <v>76559.515570934294</v>
      </c>
      <c r="S19">
        <v>87419.624573378795</v>
      </c>
      <c r="T19">
        <v>79511.861999999994</v>
      </c>
      <c r="U19">
        <v>90699.640933572693</v>
      </c>
      <c r="V19">
        <v>101598.848684211</v>
      </c>
      <c r="W19">
        <v>85910.632570659494</v>
      </c>
      <c r="X19">
        <v>76736.435868331406</v>
      </c>
      <c r="Y19">
        <v>88288.515081206497</v>
      </c>
      <c r="Z19">
        <v>110280.998781973</v>
      </c>
      <c r="AA19">
        <v>104369.505178366</v>
      </c>
      <c r="AB19">
        <v>116377.904328018</v>
      </c>
      <c r="AC19">
        <v>123824.13</v>
      </c>
      <c r="AD19">
        <v>150863.26530612199</v>
      </c>
      <c r="AE19">
        <v>139875.13</v>
      </c>
    </row>
    <row r="20" spans="1:31" x14ac:dyDescent="0.3">
      <c r="A20" s="3" t="s">
        <v>19</v>
      </c>
      <c r="B20">
        <v>2929.0998348528401</v>
      </c>
      <c r="C20">
        <v>3597.2670073478998</v>
      </c>
      <c r="D20">
        <v>3650.95431126838</v>
      </c>
      <c r="E20">
        <v>6550.7847884663997</v>
      </c>
      <c r="F20">
        <v>12618.0738604079</v>
      </c>
      <c r="G20">
        <v>18806.043396423302</v>
      </c>
      <c r="H20">
        <v>22928.990399999999</v>
      </c>
      <c r="I20">
        <v>21934.676500000001</v>
      </c>
      <c r="J20">
        <v>18131.8662</v>
      </c>
      <c r="K20">
        <v>19551.962800000001</v>
      </c>
      <c r="L20">
        <v>37423.953000000001</v>
      </c>
      <c r="M20">
        <v>51111.440399999999</v>
      </c>
      <c r="N20">
        <v>53118.351900000001</v>
      </c>
      <c r="O20">
        <v>70148.687999999995</v>
      </c>
      <c r="P20">
        <v>82428.767399999997</v>
      </c>
      <c r="Q20">
        <v>64679.2575</v>
      </c>
      <c r="R20">
        <v>77867.311199999996</v>
      </c>
      <c r="S20">
        <v>68194.303199999995</v>
      </c>
      <c r="T20">
        <v>51283.726499999997</v>
      </c>
      <c r="U20">
        <v>43073.132400000002</v>
      </c>
      <c r="V20">
        <v>48504.326099999998</v>
      </c>
      <c r="W20">
        <v>38024.397900000004</v>
      </c>
      <c r="X20">
        <v>35937.987000000001</v>
      </c>
      <c r="Y20">
        <v>34380.525600000001</v>
      </c>
      <c r="Z20">
        <v>40782.196499999998</v>
      </c>
      <c r="AA20">
        <v>35316.379999999997</v>
      </c>
      <c r="AB20">
        <v>37797.916400000002</v>
      </c>
      <c r="AC20">
        <v>40921.330800000003</v>
      </c>
      <c r="AD20">
        <v>41254.955000000002</v>
      </c>
      <c r="AE20">
        <v>42972.2474</v>
      </c>
    </row>
    <row r="21" spans="1:31" x14ac:dyDescent="0.3">
      <c r="A21" s="3" t="s">
        <v>20</v>
      </c>
      <c r="B21">
        <v>22817.725399749699</v>
      </c>
      <c r="C21">
        <v>24146.228527619001</v>
      </c>
      <c r="D21">
        <v>32460.525990659698</v>
      </c>
      <c r="E21">
        <v>39162.064368691703</v>
      </c>
      <c r="F21">
        <v>46973.672067606203</v>
      </c>
      <c r="G21">
        <v>75774.686780781194</v>
      </c>
      <c r="H21">
        <v>146619.36079999999</v>
      </c>
      <c r="I21">
        <v>137268.2905</v>
      </c>
      <c r="J21">
        <v>127040.2763</v>
      </c>
      <c r="K21">
        <v>122663.2929</v>
      </c>
      <c r="L21">
        <v>186769.91399999999</v>
      </c>
      <c r="M21">
        <v>249550.34099999999</v>
      </c>
      <c r="N21">
        <v>232810.25589999999</v>
      </c>
      <c r="O21">
        <v>323564.511</v>
      </c>
      <c r="P21">
        <v>415619.46509999997</v>
      </c>
      <c r="Q21">
        <v>236788.01310000001</v>
      </c>
      <c r="R21">
        <v>320704.9314</v>
      </c>
      <c r="S21">
        <v>241893.62220000001</v>
      </c>
      <c r="T21">
        <v>209975.38589999999</v>
      </c>
      <c r="U21">
        <v>236135.6568</v>
      </c>
      <c r="V21">
        <v>334001.47080000001</v>
      </c>
      <c r="W21">
        <v>330722.05410000001</v>
      </c>
      <c r="X21">
        <v>315223.2867</v>
      </c>
      <c r="Y21">
        <v>304627.52130000002</v>
      </c>
      <c r="Z21">
        <v>406604.67550000001</v>
      </c>
      <c r="AA21">
        <v>321974</v>
      </c>
      <c r="AB21">
        <v>361954.98639999999</v>
      </c>
      <c r="AC21">
        <v>344758.65340000001</v>
      </c>
      <c r="AD21">
        <v>350424.17479999998</v>
      </c>
      <c r="AE21">
        <v>298524.27439999999</v>
      </c>
    </row>
    <row r="22" spans="1:31" x14ac:dyDescent="0.3">
      <c r="A22" s="3" t="s">
        <v>21</v>
      </c>
      <c r="B22">
        <v>21798.0369723611</v>
      </c>
      <c r="C22">
        <v>35917.710916035699</v>
      </c>
      <c r="D22">
        <v>48061.037517647397</v>
      </c>
      <c r="E22">
        <v>70295.444622325696</v>
      </c>
      <c r="F22">
        <v>79471.880157420295</v>
      </c>
      <c r="G22">
        <v>94032.998387296902</v>
      </c>
      <c r="H22">
        <v>136070.38123167201</v>
      </c>
      <c r="I22">
        <v>126018.45831148401</v>
      </c>
      <c r="J22">
        <v>78435.153503632493</v>
      </c>
      <c r="K22">
        <v>56310.934844192598</v>
      </c>
      <c r="L22">
        <v>89737.522951093299</v>
      </c>
      <c r="M22">
        <v>124104.405406223</v>
      </c>
      <c r="N22">
        <v>141279.65420185</v>
      </c>
      <c r="O22">
        <v>209105.52998076999</v>
      </c>
      <c r="P22">
        <v>204057.00386678299</v>
      </c>
      <c r="Q22">
        <v>86848.001433948695</v>
      </c>
      <c r="R22">
        <v>140041.733998454</v>
      </c>
      <c r="S22">
        <v>202626.94308240301</v>
      </c>
      <c r="T22">
        <v>170539.076905208</v>
      </c>
      <c r="U22">
        <v>223163.348451072</v>
      </c>
      <c r="V22">
        <v>278344.74921386101</v>
      </c>
      <c r="W22">
        <v>262878.26693896501</v>
      </c>
      <c r="X22">
        <v>263788.029570657</v>
      </c>
      <c r="Y22">
        <v>254111.58438348299</v>
      </c>
      <c r="Z22">
        <v>316304.459064328</v>
      </c>
      <c r="AA22">
        <v>247390.63442084799</v>
      </c>
      <c r="AB22">
        <v>316584.36656522501</v>
      </c>
      <c r="AC22">
        <v>412910.04255735502</v>
      </c>
      <c r="AD22">
        <v>519233.90978192299</v>
      </c>
      <c r="AE22">
        <v>316929.40646188398</v>
      </c>
    </row>
    <row r="23" spans="1:31" x14ac:dyDescent="0.3">
      <c r="A23" s="3" t="s">
        <v>22</v>
      </c>
      <c r="B23">
        <v>139055.76208178399</v>
      </c>
      <c r="C23">
        <v>134720.548989706</v>
      </c>
      <c r="D23">
        <v>179289.87396783999</v>
      </c>
      <c r="E23">
        <v>176566.39928698799</v>
      </c>
      <c r="F23">
        <v>246515.495086924</v>
      </c>
      <c r="G23">
        <v>323906.32618961099</v>
      </c>
      <c r="H23">
        <v>314257.14303575899</v>
      </c>
      <c r="I23">
        <v>382037.73846623901</v>
      </c>
      <c r="J23">
        <v>321677.930602754</v>
      </c>
      <c r="K23">
        <v>314770.41029708699</v>
      </c>
      <c r="L23">
        <v>402623.466731344</v>
      </c>
      <c r="M23">
        <v>456669.32661717897</v>
      </c>
      <c r="N23">
        <v>536489.86532755103</v>
      </c>
      <c r="O23">
        <v>684249.85167581798</v>
      </c>
      <c r="P23">
        <v>725643.80719680199</v>
      </c>
      <c r="Q23">
        <v>548109.89188680996</v>
      </c>
      <c r="R23">
        <v>727333.80307898205</v>
      </c>
      <c r="S23">
        <v>780821.00514290796</v>
      </c>
      <c r="T23">
        <v>712119.85161637096</v>
      </c>
      <c r="U23">
        <v>952480.57254989899</v>
      </c>
      <c r="V23">
        <v>1163846.61284154</v>
      </c>
      <c r="W23">
        <v>1130647.77088917</v>
      </c>
      <c r="X23">
        <v>1108460.28747987</v>
      </c>
      <c r="Y23">
        <v>1039509.9732612</v>
      </c>
      <c r="Z23">
        <v>1192307.69199678</v>
      </c>
      <c r="AA23">
        <v>1040858.34405578</v>
      </c>
      <c r="AB23">
        <v>1311530.50816421</v>
      </c>
      <c r="AC23">
        <v>1425298.10984476</v>
      </c>
      <c r="AD23">
        <v>1648515.73564452</v>
      </c>
      <c r="AE23">
        <v>1306773.59653398</v>
      </c>
    </row>
    <row r="24" spans="1:31" x14ac:dyDescent="0.3">
      <c r="A24" s="3" t="s">
        <v>23</v>
      </c>
      <c r="B24">
        <v>2409.4012742551699</v>
      </c>
      <c r="C24">
        <v>2135.0215317132702</v>
      </c>
      <c r="D24">
        <v>2170.7879190543199</v>
      </c>
      <c r="E24">
        <v>3085</v>
      </c>
      <c r="F24">
        <v>6018</v>
      </c>
      <c r="G24">
        <v>3700</v>
      </c>
      <c r="H24">
        <v>15358</v>
      </c>
      <c r="I24">
        <v>7404</v>
      </c>
      <c r="J24">
        <v>5635</v>
      </c>
      <c r="K24">
        <v>3450</v>
      </c>
      <c r="L24">
        <v>8954</v>
      </c>
      <c r="M24">
        <v>16141</v>
      </c>
      <c r="N24">
        <v>33387</v>
      </c>
      <c r="O24">
        <v>33816</v>
      </c>
      <c r="P24">
        <v>64201</v>
      </c>
      <c r="Q24">
        <v>23120</v>
      </c>
      <c r="R24">
        <v>47080</v>
      </c>
      <c r="S24">
        <v>61311</v>
      </c>
      <c r="T24">
        <v>39055</v>
      </c>
      <c r="U24">
        <v>70501</v>
      </c>
      <c r="V24">
        <v>52248</v>
      </c>
      <c r="W24">
        <v>61908</v>
      </c>
      <c r="X24">
        <v>40210</v>
      </c>
      <c r="Y24">
        <v>35505</v>
      </c>
      <c r="Z24">
        <v>51984</v>
      </c>
      <c r="AA24">
        <v>29487</v>
      </c>
      <c r="AB24">
        <v>32576</v>
      </c>
      <c r="AC24">
        <v>29168</v>
      </c>
      <c r="AD24">
        <v>18435</v>
      </c>
      <c r="AE24">
        <v>28773</v>
      </c>
    </row>
    <row r="25" spans="1:31" x14ac:dyDescent="0.3">
      <c r="A25" s="3" t="s">
        <v>24</v>
      </c>
      <c r="B25">
        <v>198058.658</v>
      </c>
      <c r="C25">
        <v>197095.3125</v>
      </c>
      <c r="D25">
        <v>267660.2</v>
      </c>
      <c r="E25">
        <v>383894.02799999999</v>
      </c>
      <c r="F25">
        <v>499229.29840000003</v>
      </c>
      <c r="G25">
        <v>668896.67700000003</v>
      </c>
      <c r="H25">
        <v>1122161.4539999999</v>
      </c>
      <c r="I25">
        <v>1162077.6096000001</v>
      </c>
      <c r="J25">
        <v>934257.75520000001</v>
      </c>
      <c r="K25">
        <v>792502.71840000001</v>
      </c>
      <c r="L25">
        <v>1096728.4898999999</v>
      </c>
      <c r="M25">
        <v>1324467.2069999999</v>
      </c>
      <c r="N25">
        <v>1319149.3119000001</v>
      </c>
      <c r="O25">
        <v>1708442.0859999999</v>
      </c>
      <c r="P25">
        <v>1942113.9905999999</v>
      </c>
      <c r="Q25">
        <v>972762.24179999996</v>
      </c>
      <c r="R25">
        <v>1457253.6314999999</v>
      </c>
      <c r="S25">
        <v>1504639.622</v>
      </c>
      <c r="T25">
        <v>1446569.8125</v>
      </c>
      <c r="U25">
        <v>1741387.6980000001</v>
      </c>
      <c r="V25">
        <v>2071289.0488</v>
      </c>
      <c r="W25">
        <v>2015601.5120000001</v>
      </c>
      <c r="X25">
        <v>1958821.3589000001</v>
      </c>
      <c r="Y25">
        <v>1654734.6388000001</v>
      </c>
      <c r="Z25">
        <v>2124248.3047000002</v>
      </c>
      <c r="AA25">
        <v>1751496.571</v>
      </c>
      <c r="AB25">
        <v>2022767.1390500001</v>
      </c>
      <c r="AC25">
        <v>1992993.4639999999</v>
      </c>
      <c r="AD25">
        <v>2370817.5425999998</v>
      </c>
      <c r="AE25">
        <v>2000278.2408</v>
      </c>
    </row>
    <row r="26" spans="1:31" x14ac:dyDescent="0.3">
      <c r="A26" s="3" t="s">
        <v>25</v>
      </c>
      <c r="B26">
        <v>373521</v>
      </c>
      <c r="C26">
        <v>397720</v>
      </c>
      <c r="D26">
        <v>549513</v>
      </c>
      <c r="E26">
        <v>672397</v>
      </c>
      <c r="F26">
        <v>952893</v>
      </c>
      <c r="G26">
        <v>1250342</v>
      </c>
      <c r="H26">
        <v>1611534</v>
      </c>
      <c r="I26">
        <v>1643205</v>
      </c>
      <c r="J26">
        <v>1572681</v>
      </c>
      <c r="K26">
        <v>1335792</v>
      </c>
      <c r="L26">
        <v>1839509</v>
      </c>
      <c r="M26">
        <v>2123259</v>
      </c>
      <c r="N26">
        <v>2304013</v>
      </c>
      <c r="O26">
        <v>2791893</v>
      </c>
      <c r="P26">
        <v>3231651</v>
      </c>
      <c r="Q26">
        <v>2132433</v>
      </c>
      <c r="R26">
        <v>2917681</v>
      </c>
      <c r="S26">
        <v>3545769</v>
      </c>
      <c r="T26">
        <v>3841901</v>
      </c>
      <c r="U26">
        <v>4545361</v>
      </c>
      <c r="V26">
        <v>5864600</v>
      </c>
      <c r="W26">
        <v>6642507</v>
      </c>
      <c r="X26">
        <v>6209080</v>
      </c>
      <c r="Y26">
        <v>6570218</v>
      </c>
      <c r="Z26">
        <v>7941551</v>
      </c>
      <c r="AA26">
        <v>7539222</v>
      </c>
      <c r="AB26">
        <v>9296241</v>
      </c>
      <c r="AC26">
        <v>11834628</v>
      </c>
      <c r="AD26">
        <v>15250615</v>
      </c>
      <c r="AE26">
        <v>12054191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2C4-563A-4609-98DA-8633EA6A3F78}">
  <dimension ref="A1:AE26"/>
  <sheetViews>
    <sheetView topLeftCell="C1" workbookViewId="0">
      <selection activeCell="J15" sqref="J15"/>
    </sheetView>
  </sheetViews>
  <sheetFormatPr defaultRowHeight="14.4" x14ac:dyDescent="0.3"/>
  <sheetData>
    <row r="1" spans="1:3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31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4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147173.476337717</v>
      </c>
      <c r="C3">
        <v>161939.72464715299</v>
      </c>
      <c r="D3">
        <v>174379.07302761299</v>
      </c>
      <c r="E3">
        <v>204596.57563035001</v>
      </c>
      <c r="F3">
        <v>191238.950983052</v>
      </c>
      <c r="G3">
        <v>194006.663558111</v>
      </c>
      <c r="H3">
        <v>222339.60172969801</v>
      </c>
      <c r="I3">
        <v>223861.78076472299</v>
      </c>
      <c r="J3">
        <v>224252.529518102</v>
      </c>
      <c r="K3">
        <v>270665.59263850999</v>
      </c>
      <c r="L3">
        <v>376270.71585352003</v>
      </c>
      <c r="M3">
        <v>450550.28779326403</v>
      </c>
      <c r="N3">
        <v>501922.43350213103</v>
      </c>
      <c r="O3">
        <v>634968.86468257802</v>
      </c>
      <c r="P3">
        <v>765498.07707147102</v>
      </c>
      <c r="Q3">
        <v>707495.77094857302</v>
      </c>
      <c r="R3">
        <v>913179.69579764898</v>
      </c>
      <c r="S3">
        <v>1037250.0450915199</v>
      </c>
      <c r="T3">
        <v>1156910.3594968601</v>
      </c>
      <c r="U3">
        <v>1261043.48936518</v>
      </c>
      <c r="V3">
        <v>1208994.5028083699</v>
      </c>
      <c r="W3">
        <v>1219123.23907006</v>
      </c>
      <c r="X3">
        <v>1223585.3963608399</v>
      </c>
      <c r="Y3">
        <v>1214377.38232372</v>
      </c>
      <c r="Z3">
        <v>1346782.5493978099</v>
      </c>
      <c r="AA3">
        <v>1308062.98226186</v>
      </c>
      <c r="AB3">
        <v>1344741.08456407</v>
      </c>
      <c r="AC3">
        <v>1468345.1001969699</v>
      </c>
      <c r="AD3">
        <v>1444447.3759373401</v>
      </c>
      <c r="AE3">
        <v>1351468.5368771499</v>
      </c>
    </row>
    <row r="4" spans="1:31" x14ac:dyDescent="0.3">
      <c r="A4" s="3" t="s">
        <v>3</v>
      </c>
      <c r="B4">
        <v>118857.48139044399</v>
      </c>
      <c r="C4">
        <v>137055.981389333</v>
      </c>
      <c r="D4">
        <v>165402.94387874301</v>
      </c>
      <c r="E4">
        <v>162097.88226272599</v>
      </c>
      <c r="F4">
        <v>163791.96054180001</v>
      </c>
      <c r="G4">
        <v>197339.37306266901</v>
      </c>
      <c r="H4">
        <v>224503.001277926</v>
      </c>
      <c r="I4">
        <v>248417.82098236799</v>
      </c>
      <c r="J4">
        <v>265346.57422125601</v>
      </c>
      <c r="K4">
        <v>319153.42610403599</v>
      </c>
      <c r="L4">
        <v>400343.18310014001</v>
      </c>
      <c r="M4">
        <v>485674.192254611</v>
      </c>
      <c r="N4">
        <v>500212.47348905599</v>
      </c>
      <c r="O4">
        <v>624960.64863458695</v>
      </c>
      <c r="P4">
        <v>747422.26483219594</v>
      </c>
      <c r="Q4">
        <v>772436.86366658995</v>
      </c>
      <c r="R4">
        <v>761452.88898108294</v>
      </c>
      <c r="S4">
        <v>729423.81026331196</v>
      </c>
      <c r="T4">
        <v>743674.46992216201</v>
      </c>
      <c r="U4">
        <v>768445.69649985305</v>
      </c>
      <c r="V4">
        <v>768067.52639432205</v>
      </c>
      <c r="W4">
        <v>686215.35554061795</v>
      </c>
      <c r="X4">
        <v>598311.45170317194</v>
      </c>
      <c r="Y4">
        <v>569802.59226119996</v>
      </c>
      <c r="Z4">
        <v>629274.89600190194</v>
      </c>
      <c r="AA4">
        <v>609832.77067210001</v>
      </c>
      <c r="AB4">
        <v>620302.474419893</v>
      </c>
      <c r="AC4">
        <v>700197.91349394899</v>
      </c>
      <c r="AD4">
        <v>674458.39851651096</v>
      </c>
      <c r="AE4">
        <v>628326.35880095698</v>
      </c>
    </row>
    <row r="5" spans="1:31" x14ac:dyDescent="0.3">
      <c r="A5" s="3" t="s">
        <v>4</v>
      </c>
      <c r="B5">
        <v>335809.13902013103</v>
      </c>
      <c r="C5">
        <v>380700.53286409</v>
      </c>
      <c r="D5">
        <v>431282.52110869699</v>
      </c>
      <c r="E5">
        <v>407175.968486859</v>
      </c>
      <c r="F5">
        <v>386825.65577049699</v>
      </c>
      <c r="G5">
        <v>404457.40702705999</v>
      </c>
      <c r="H5">
        <v>419383.28694492101</v>
      </c>
      <c r="I5">
        <v>401770.784107699</v>
      </c>
      <c r="J5">
        <v>430202.14893719798</v>
      </c>
      <c r="K5">
        <v>541953.55088266602</v>
      </c>
      <c r="L5">
        <v>731850.29117308604</v>
      </c>
      <c r="M5">
        <v>873387.04419341602</v>
      </c>
      <c r="N5">
        <v>913670.453636355</v>
      </c>
      <c r="O5">
        <v>1086741.37060176</v>
      </c>
      <c r="P5">
        <v>1430108.1924997</v>
      </c>
      <c r="Q5">
        <v>1342478.4211516399</v>
      </c>
      <c r="R5">
        <v>1232074.2324089501</v>
      </c>
      <c r="S5">
        <v>1093340.11995996</v>
      </c>
      <c r="T5">
        <v>1080121.61668198</v>
      </c>
      <c r="U5">
        <v>1046867.50917758</v>
      </c>
      <c r="V5">
        <v>953359.06885794899</v>
      </c>
      <c r="W5">
        <v>927021.33864383295</v>
      </c>
      <c r="X5">
        <v>841077.23573380394</v>
      </c>
      <c r="Y5">
        <v>876181.32401707501</v>
      </c>
      <c r="Z5">
        <v>973628.73373117403</v>
      </c>
      <c r="AA5">
        <v>906334.38483720797</v>
      </c>
      <c r="AB5">
        <v>974160.49894172605</v>
      </c>
      <c r="AC5">
        <v>1103760.9677635899</v>
      </c>
      <c r="AD5">
        <v>1077107.4935438901</v>
      </c>
      <c r="AE5">
        <v>1023643.77726768</v>
      </c>
    </row>
    <row r="6" spans="1:31" x14ac:dyDescent="0.3">
      <c r="A6" s="3" t="s">
        <v>5</v>
      </c>
      <c r="B6">
        <v>386955.366757276</v>
      </c>
      <c r="C6">
        <v>387114.01102910499</v>
      </c>
      <c r="D6">
        <v>430301.62104153202</v>
      </c>
      <c r="E6">
        <v>449359.52255750599</v>
      </c>
      <c r="F6">
        <v>475019.64320500701</v>
      </c>
      <c r="G6">
        <v>487914.94299630501</v>
      </c>
      <c r="H6">
        <v>457978.907379699</v>
      </c>
      <c r="I6">
        <v>433413.92808519298</v>
      </c>
      <c r="J6">
        <v>457379.64577935898</v>
      </c>
      <c r="K6">
        <v>497447.868154114</v>
      </c>
      <c r="L6">
        <v>552387.17927360896</v>
      </c>
      <c r="M6">
        <v>577851.07576839195</v>
      </c>
      <c r="N6">
        <v>614835.00002898101</v>
      </c>
      <c r="O6">
        <v>670224.15133912896</v>
      </c>
      <c r="P6">
        <v>786355.30609385401</v>
      </c>
      <c r="Q6">
        <v>768266.55193091696</v>
      </c>
      <c r="R6">
        <v>920332.92574322002</v>
      </c>
      <c r="S6">
        <v>1050238.5620989299</v>
      </c>
      <c r="T6">
        <v>1169459.7921380401</v>
      </c>
      <c r="U6">
        <v>1377073.62869305</v>
      </c>
      <c r="V6">
        <v>1359122.7041390999</v>
      </c>
      <c r="W6">
        <v>1439510.4563486399</v>
      </c>
      <c r="X6">
        <v>1443574.77847477</v>
      </c>
      <c r="Y6">
        <v>1570779.1681325401</v>
      </c>
      <c r="Z6">
        <v>1789345.37009968</v>
      </c>
      <c r="AA6">
        <v>1790654.0002749299</v>
      </c>
      <c r="AB6">
        <v>2120097.3746398902</v>
      </c>
      <c r="AC6">
        <v>2378070.7825458199</v>
      </c>
      <c r="AD6">
        <v>2534475.27076519</v>
      </c>
      <c r="AE6">
        <v>2577028.3289611801</v>
      </c>
    </row>
    <row r="7" spans="1:31" x14ac:dyDescent="0.3">
      <c r="A7" s="3" t="s">
        <v>6</v>
      </c>
      <c r="B7">
        <v>137565.718964603</v>
      </c>
      <c r="C7">
        <v>127172.177804826</v>
      </c>
      <c r="D7">
        <v>139104.681372197</v>
      </c>
      <c r="E7">
        <v>153339.879873561</v>
      </c>
      <c r="F7">
        <v>155090.43877028799</v>
      </c>
      <c r="G7">
        <v>181801.676540071</v>
      </c>
      <c r="H7">
        <v>171396.22015816899</v>
      </c>
      <c r="I7">
        <v>166439.140182804</v>
      </c>
      <c r="J7">
        <v>169667.14782172101</v>
      </c>
      <c r="K7">
        <v>208159.882973614</v>
      </c>
      <c r="L7">
        <v>270088.86075468</v>
      </c>
      <c r="M7">
        <v>317566.74266544002</v>
      </c>
      <c r="N7">
        <v>322166.27176921</v>
      </c>
      <c r="O7">
        <v>402691.099093667</v>
      </c>
      <c r="P7">
        <v>514820.70637091203</v>
      </c>
      <c r="Q7">
        <v>529902.36021320603</v>
      </c>
      <c r="R7">
        <v>548763.75946400897</v>
      </c>
      <c r="S7">
        <v>547996.20412279898</v>
      </c>
      <c r="T7">
        <v>521511.79376423702</v>
      </c>
      <c r="U7">
        <v>532762.47410849005</v>
      </c>
      <c r="V7">
        <v>556090.246671275</v>
      </c>
      <c r="W7">
        <v>485771.58834968199</v>
      </c>
      <c r="X7">
        <v>422513.42469674599</v>
      </c>
      <c r="Y7">
        <v>424282.74771047098</v>
      </c>
      <c r="Z7">
        <v>490382.61199485301</v>
      </c>
      <c r="AA7">
        <v>436956.784797239</v>
      </c>
      <c r="AB7">
        <v>436950.067801609</v>
      </c>
      <c r="AC7">
        <v>531546.72592534602</v>
      </c>
      <c r="AD7">
        <v>492469.89057585801</v>
      </c>
      <c r="AE7">
        <v>400077.65409663599</v>
      </c>
    </row>
    <row r="8" spans="1:31" x14ac:dyDescent="0.3">
      <c r="A8" s="3" t="s">
        <v>7</v>
      </c>
      <c r="B8">
        <v>77732.340410983801</v>
      </c>
      <c r="C8">
        <v>89099.560845547094</v>
      </c>
      <c r="D8">
        <v>88012.777197988995</v>
      </c>
      <c r="E8">
        <v>85473.383808724204</v>
      </c>
      <c r="F8">
        <v>80344.718848541306</v>
      </c>
      <c r="G8">
        <v>89920.888252819306</v>
      </c>
      <c r="H8">
        <v>84900.701651900003</v>
      </c>
      <c r="I8">
        <v>99527.952918219104</v>
      </c>
      <c r="J8">
        <v>108350.966073452</v>
      </c>
      <c r="K8">
        <v>129999.3707177</v>
      </c>
      <c r="L8">
        <v>156084.90022958501</v>
      </c>
      <c r="M8">
        <v>192416.401246536</v>
      </c>
      <c r="N8">
        <v>182828.615505644</v>
      </c>
      <c r="O8">
        <v>227433.07769424299</v>
      </c>
      <c r="P8">
        <v>265105.66456526</v>
      </c>
      <c r="Q8">
        <v>271289.54026608198</v>
      </c>
      <c r="R8">
        <v>349006.526949986</v>
      </c>
      <c r="S8">
        <v>391286.84638261201</v>
      </c>
      <c r="T8">
        <v>472948.90766829799</v>
      </c>
      <c r="U8">
        <v>539098.43119064101</v>
      </c>
      <c r="V8">
        <v>531101.46453202295</v>
      </c>
      <c r="W8">
        <v>489693.22711492202</v>
      </c>
      <c r="X8">
        <v>418808.78657865798</v>
      </c>
      <c r="Y8">
        <v>394918.59243737999</v>
      </c>
      <c r="Z8">
        <v>422543.983941068</v>
      </c>
      <c r="AA8">
        <v>524487.69658216496</v>
      </c>
      <c r="AB8">
        <v>537026.99415560905</v>
      </c>
      <c r="AC8">
        <v>581348.62508517504</v>
      </c>
      <c r="AD8">
        <v>518267.59751558001</v>
      </c>
      <c r="AE8">
        <v>540116.70165165095</v>
      </c>
    </row>
    <row r="9" spans="1:31" x14ac:dyDescent="0.3">
      <c r="A9" s="3" t="s">
        <v>8</v>
      </c>
      <c r="B9">
        <v>752186.34320350003</v>
      </c>
      <c r="C9">
        <v>804545.02028584399</v>
      </c>
      <c r="D9">
        <v>925156.23083496303</v>
      </c>
      <c r="E9">
        <v>887250.723243371</v>
      </c>
      <c r="F9">
        <v>890987.918522491</v>
      </c>
      <c r="G9">
        <v>991271.643832303</v>
      </c>
      <c r="H9">
        <v>993164.71464439796</v>
      </c>
      <c r="I9">
        <v>1091528.4453410499</v>
      </c>
      <c r="J9">
        <v>1257677.3820914801</v>
      </c>
      <c r="K9">
        <v>1578943.37586056</v>
      </c>
      <c r="L9">
        <v>2109505.86964009</v>
      </c>
      <c r="M9">
        <v>2630142.2710448401</v>
      </c>
      <c r="N9">
        <v>2818924.4151144498</v>
      </c>
      <c r="O9">
        <v>3528559.28201458</v>
      </c>
      <c r="P9">
        <v>4547056.4107785197</v>
      </c>
      <c r="Q9">
        <v>4599079.8694538102</v>
      </c>
      <c r="R9">
        <v>4946622.3172719497</v>
      </c>
      <c r="S9">
        <v>4963036.2832091199</v>
      </c>
      <c r="T9">
        <v>4747328.5183240101</v>
      </c>
      <c r="U9">
        <v>5010509.8421269497</v>
      </c>
      <c r="V9">
        <v>5143339.0496658804</v>
      </c>
      <c r="W9">
        <v>5002149.4367409898</v>
      </c>
      <c r="X9">
        <v>4582126.1382361501</v>
      </c>
      <c r="Y9">
        <v>4571702.6574552003</v>
      </c>
      <c r="Z9">
        <v>5317640.6427836502</v>
      </c>
      <c r="AA9">
        <v>5533852.0556509402</v>
      </c>
      <c r="AB9">
        <v>5931550.1854836699</v>
      </c>
      <c r="AC9">
        <v>7009545.8929168601</v>
      </c>
      <c r="AD9">
        <v>6795912.6297504799</v>
      </c>
      <c r="AE9">
        <v>6341523.5315260403</v>
      </c>
    </row>
    <row r="10" spans="1:31" x14ac:dyDescent="0.3">
      <c r="A10" s="3" t="s">
        <v>9</v>
      </c>
      <c r="B10">
        <v>916600.19846764195</v>
      </c>
      <c r="C10">
        <v>1053139.55506441</v>
      </c>
      <c r="D10">
        <v>1324221.1227877501</v>
      </c>
      <c r="E10">
        <v>1369862.96347705</v>
      </c>
      <c r="F10">
        <v>1287509.9652007599</v>
      </c>
      <c r="G10">
        <v>1659584.03835509</v>
      </c>
      <c r="H10">
        <v>1740810.23381093</v>
      </c>
      <c r="I10">
        <v>1864379.88718388</v>
      </c>
      <c r="J10">
        <v>1932322.10965813</v>
      </c>
      <c r="K10">
        <v>2482504.2599951401</v>
      </c>
      <c r="L10">
        <v>3043576.7782941698</v>
      </c>
      <c r="M10">
        <v>3534308.2339498098</v>
      </c>
      <c r="N10">
        <v>3396501.2808702998</v>
      </c>
      <c r="O10">
        <v>3971704.6156201102</v>
      </c>
      <c r="P10">
        <v>4827264.2561648302</v>
      </c>
      <c r="Q10">
        <v>4839972.1684942404</v>
      </c>
      <c r="R10">
        <v>4809463.3162503997</v>
      </c>
      <c r="S10">
        <v>4926205.6457582703</v>
      </c>
      <c r="T10">
        <v>5030998.5232612202</v>
      </c>
      <c r="U10">
        <v>5180481.9664189704</v>
      </c>
      <c r="V10">
        <v>4907931.5726560196</v>
      </c>
      <c r="W10">
        <v>4620272.6017703302</v>
      </c>
      <c r="X10">
        <v>4179863.6291804798</v>
      </c>
      <c r="Y10">
        <v>4205936.4664213201</v>
      </c>
      <c r="Z10">
        <v>4744284.3817676604</v>
      </c>
      <c r="AA10">
        <v>4650815.7876163898</v>
      </c>
      <c r="AB10">
        <v>4677889.2512595598</v>
      </c>
      <c r="AC10">
        <v>5583511.21717392</v>
      </c>
      <c r="AD10">
        <v>5737884.8335271403</v>
      </c>
      <c r="AE10">
        <v>5243539.9980144296</v>
      </c>
    </row>
    <row r="11" spans="1:31" x14ac:dyDescent="0.3">
      <c r="A11" s="3" t="s">
        <v>10</v>
      </c>
      <c r="B11">
        <v>40960.864955999998</v>
      </c>
      <c r="C11">
        <v>44380.864955999998</v>
      </c>
      <c r="D11">
        <v>50302.864955999998</v>
      </c>
      <c r="E11">
        <v>52411.864955999998</v>
      </c>
      <c r="F11">
        <v>60011.864955999998</v>
      </c>
      <c r="G11">
        <v>66599.792477452298</v>
      </c>
      <c r="H11">
        <v>72210.110393131996</v>
      </c>
      <c r="I11">
        <v>84761.092491413801</v>
      </c>
      <c r="J11">
        <v>98240.848675036206</v>
      </c>
      <c r="K11">
        <v>144981.971351744</v>
      </c>
      <c r="L11">
        <v>204482.12982829299</v>
      </c>
      <c r="M11">
        <v>252918.89158145501</v>
      </c>
      <c r="N11">
        <v>263937.16978177102</v>
      </c>
      <c r="O11">
        <v>331608.16361088498</v>
      </c>
      <c r="P11">
        <v>452431.18833183899</v>
      </c>
      <c r="Q11">
        <v>504322.29373623402</v>
      </c>
      <c r="R11">
        <v>593521.98109188303</v>
      </c>
      <c r="S11">
        <v>548942.98464362603</v>
      </c>
      <c r="T11">
        <v>495091.90551744401</v>
      </c>
      <c r="U11">
        <v>588007.61400068598</v>
      </c>
      <c r="V11">
        <v>579501.53855061601</v>
      </c>
      <c r="W11">
        <v>505724.718313705</v>
      </c>
      <c r="X11">
        <v>471810.49249689199</v>
      </c>
      <c r="Y11">
        <v>445178.04980136798</v>
      </c>
      <c r="Z11">
        <v>474556.55716712499</v>
      </c>
      <c r="AA11">
        <v>466713.16913752898</v>
      </c>
      <c r="AB11">
        <v>493405.03009461699</v>
      </c>
      <c r="AC11">
        <v>596584.42842472496</v>
      </c>
      <c r="AD11">
        <v>619027.41201382095</v>
      </c>
      <c r="AE11">
        <v>575132.49601874501</v>
      </c>
    </row>
    <row r="12" spans="1:31" x14ac:dyDescent="0.3">
      <c r="A12" s="3" t="s">
        <v>11</v>
      </c>
      <c r="B12">
        <v>4026.2575665997301</v>
      </c>
      <c r="C12">
        <v>4085.5291888010602</v>
      </c>
      <c r="D12">
        <v>4264.7719235499699</v>
      </c>
      <c r="E12">
        <v>4431.6683610445698</v>
      </c>
      <c r="F12">
        <v>4607.3989324867498</v>
      </c>
      <c r="G12">
        <v>5838.3523958811602</v>
      </c>
      <c r="H12">
        <v>6767.0839226508097</v>
      </c>
      <c r="I12">
        <v>8518.4042079658793</v>
      </c>
      <c r="J12">
        <v>9061.87471454564</v>
      </c>
      <c r="K12">
        <v>11083.762871192101</v>
      </c>
      <c r="L12">
        <v>16041.611063773</v>
      </c>
      <c r="M12">
        <v>26534.788669379599</v>
      </c>
      <c r="N12">
        <v>45348.7624420434</v>
      </c>
      <c r="O12">
        <v>70498.687963213102</v>
      </c>
      <c r="P12">
        <v>110500.966670428</v>
      </c>
      <c r="Q12">
        <v>112314.504630157</v>
      </c>
      <c r="R12">
        <v>109543.724892547</v>
      </c>
      <c r="S12">
        <v>109272.90148992201</v>
      </c>
      <c r="T12">
        <v>99141.310023820493</v>
      </c>
      <c r="U12">
        <v>91438.205201500503</v>
      </c>
      <c r="V12">
        <v>95556.299767071396</v>
      </c>
      <c r="W12">
        <v>85911.510975133104</v>
      </c>
      <c r="X12">
        <v>21593.3074962065</v>
      </c>
      <c r="Y12">
        <v>15703.6228373472</v>
      </c>
      <c r="Z12">
        <v>15994.854707868401</v>
      </c>
      <c r="AA12">
        <v>15546.1910250283</v>
      </c>
      <c r="AB12">
        <v>14674.437816695499</v>
      </c>
      <c r="AC12">
        <v>15356.293050132999</v>
      </c>
      <c r="AD12">
        <v>17049.842497003301</v>
      </c>
      <c r="AE12">
        <v>16432.830039071599</v>
      </c>
    </row>
    <row r="13" spans="1:31" x14ac:dyDescent="0.3">
      <c r="A13" s="3" t="s">
        <v>12</v>
      </c>
      <c r="B13">
        <v>55185.759439169</v>
      </c>
      <c r="C13">
        <v>61251.293531009302</v>
      </c>
      <c r="D13">
        <v>95826.262104997601</v>
      </c>
      <c r="E13">
        <v>123152.071599972</v>
      </c>
      <c r="F13">
        <v>151112.15848851099</v>
      </c>
      <c r="G13">
        <v>228820.6765</v>
      </c>
      <c r="H13">
        <v>292234.12160000001</v>
      </c>
      <c r="I13">
        <v>296082.30849999998</v>
      </c>
      <c r="J13">
        <v>348848.00771149102</v>
      </c>
      <c r="K13">
        <v>470206.80067195703</v>
      </c>
      <c r="L13">
        <v>695414.11499999999</v>
      </c>
      <c r="M13">
        <v>972670.16159999999</v>
      </c>
      <c r="N13">
        <v>1152137.16300783</v>
      </c>
      <c r="O13">
        <v>1554107.412</v>
      </c>
      <c r="P13">
        <v>1995333.9111953799</v>
      </c>
      <c r="Q13">
        <v>2070755.7697441799</v>
      </c>
      <c r="R13">
        <v>2048872.93696488</v>
      </c>
      <c r="S13">
        <v>1806078.3526622099</v>
      </c>
      <c r="T13">
        <v>1865128.4313847399</v>
      </c>
      <c r="U13">
        <v>1829612.08516791</v>
      </c>
      <c r="V13">
        <v>1892522.04858899</v>
      </c>
      <c r="W13">
        <v>1815826.8172285301</v>
      </c>
      <c r="X13">
        <v>1715826.1644381001</v>
      </c>
      <c r="Y13">
        <v>1636778.5586204701</v>
      </c>
      <c r="Z13">
        <v>1869634.8127338199</v>
      </c>
      <c r="AA13">
        <v>1971534.14041759</v>
      </c>
      <c r="AB13">
        <v>2186115.6052164198</v>
      </c>
      <c r="AC13">
        <v>2526013.7281933599</v>
      </c>
      <c r="AD13">
        <v>2594879.7752744001</v>
      </c>
      <c r="AE13">
        <v>2415595.4543639398</v>
      </c>
    </row>
    <row r="14" spans="1:31" x14ac:dyDescent="0.3">
      <c r="A14" s="3" t="s">
        <v>13</v>
      </c>
      <c r="B14">
        <v>470654.981545004</v>
      </c>
      <c r="C14">
        <v>516564.68547446502</v>
      </c>
      <c r="D14">
        <v>568731.77420131397</v>
      </c>
      <c r="E14">
        <v>660780.60577774805</v>
      </c>
      <c r="F14">
        <v>695801.06650030403</v>
      </c>
      <c r="G14">
        <v>844271.31435893802</v>
      </c>
      <c r="H14">
        <v>803397.34393427498</v>
      </c>
      <c r="I14">
        <v>869818.85395957704</v>
      </c>
      <c r="J14">
        <v>844688.69980309904</v>
      </c>
      <c r="K14">
        <v>1070147.57578727</v>
      </c>
      <c r="L14">
        <v>1364356.25747708</v>
      </c>
      <c r="M14">
        <v>1572669.55338764</v>
      </c>
      <c r="N14">
        <v>1594572.16868786</v>
      </c>
      <c r="O14">
        <v>1992759.7428804401</v>
      </c>
      <c r="P14">
        <v>2405089.01300911</v>
      </c>
      <c r="Q14">
        <v>2210283.1657515801</v>
      </c>
      <c r="R14">
        <v>2363442.9712375598</v>
      </c>
      <c r="S14">
        <v>2270957.7967384402</v>
      </c>
      <c r="T14">
        <v>2196145.3043929101</v>
      </c>
      <c r="U14">
        <v>2335445.2235147902</v>
      </c>
      <c r="V14">
        <v>2425724.2882947102</v>
      </c>
      <c r="W14">
        <v>2267765.6439700499</v>
      </c>
      <c r="X14">
        <v>2107542.77518768</v>
      </c>
      <c r="Y14">
        <v>2042795.9957540601</v>
      </c>
      <c r="Z14">
        <v>2377016.1292954702</v>
      </c>
      <c r="AA14">
        <v>2273361.7450278201</v>
      </c>
      <c r="AB14">
        <v>2323511.0608167001</v>
      </c>
      <c r="AC14">
        <v>2647524.07730495</v>
      </c>
      <c r="AD14">
        <v>2591034.5134792398</v>
      </c>
      <c r="AE14">
        <v>2425607.9790606298</v>
      </c>
    </row>
    <row r="15" spans="1:31" x14ac:dyDescent="0.3">
      <c r="A15" s="3" t="s">
        <v>14</v>
      </c>
      <c r="B15">
        <v>1382004.7883514699</v>
      </c>
      <c r="C15">
        <v>1465171.63130259</v>
      </c>
      <c r="D15">
        <v>1473950.20411451</v>
      </c>
      <c r="E15">
        <v>1369265.20697859</v>
      </c>
      <c r="F15">
        <v>1399381.1187044</v>
      </c>
      <c r="G15">
        <v>1427798.91706246</v>
      </c>
      <c r="H15">
        <v>1266480.00976732</v>
      </c>
      <c r="I15">
        <v>1207912.03441867</v>
      </c>
      <c r="J15">
        <v>1091515.36600644</v>
      </c>
      <c r="K15">
        <v>1168144.24008443</v>
      </c>
      <c r="L15">
        <v>1328643.5623218601</v>
      </c>
      <c r="M15">
        <v>1531453.1287501</v>
      </c>
      <c r="N15">
        <v>1498910.501653</v>
      </c>
      <c r="O15">
        <v>1491024.1996929001</v>
      </c>
      <c r="P15">
        <v>1737991.3646833</v>
      </c>
      <c r="Q15">
        <v>2186547.2999217901</v>
      </c>
      <c r="R15">
        <v>2026590.9589229799</v>
      </c>
      <c r="S15">
        <v>2467786.1966535398</v>
      </c>
      <c r="T15">
        <v>2921451.43700107</v>
      </c>
      <c r="U15">
        <v>2906072.0300852498</v>
      </c>
      <c r="V15">
        <v>2767546.9077104498</v>
      </c>
      <c r="W15">
        <v>2710123.9020469198</v>
      </c>
      <c r="X15">
        <v>2936332.9802087601</v>
      </c>
      <c r="Y15">
        <v>3379659.6736596599</v>
      </c>
      <c r="Z15">
        <v>3554719.9926136802</v>
      </c>
      <c r="AA15">
        <v>3960330.8368603899</v>
      </c>
      <c r="AB15">
        <v>4178655.76442627</v>
      </c>
      <c r="AC15">
        <v>4703112.6655392405</v>
      </c>
      <c r="AD15">
        <v>4547653.8352539102</v>
      </c>
      <c r="AE15">
        <v>4294956.2606743798</v>
      </c>
    </row>
    <row r="16" spans="1:31" x14ac:dyDescent="0.3">
      <c r="A16" s="3" t="s">
        <v>15</v>
      </c>
      <c r="B16">
        <v>132416.28</v>
      </c>
      <c r="C16">
        <v>141193.75</v>
      </c>
      <c r="D16">
        <v>166048.35</v>
      </c>
      <c r="E16">
        <v>159046.57232572499</v>
      </c>
      <c r="F16">
        <v>152253.00821872099</v>
      </c>
      <c r="G16">
        <v>166600.00017209401</v>
      </c>
      <c r="H16">
        <v>179686.11489658299</v>
      </c>
      <c r="I16">
        <v>166578.351725557</v>
      </c>
      <c r="J16">
        <v>164159.67156844999</v>
      </c>
      <c r="K16">
        <v>161712.89583764999</v>
      </c>
      <c r="L16">
        <v>168811.13247438701</v>
      </c>
      <c r="M16">
        <v>177468.83327139501</v>
      </c>
      <c r="N16">
        <v>187037.78367773199</v>
      </c>
      <c r="O16">
        <v>188341.28666375901</v>
      </c>
      <c r="P16">
        <v>212050.660542834</v>
      </c>
      <c r="Q16">
        <v>221999.63095914299</v>
      </c>
      <c r="R16">
        <v>198552.298093511</v>
      </c>
      <c r="S16">
        <v>257070.95260737499</v>
      </c>
      <c r="T16">
        <v>298257.04700054898</v>
      </c>
      <c r="U16">
        <v>369769.49684968998</v>
      </c>
      <c r="V16">
        <v>416848.05846377299</v>
      </c>
      <c r="W16">
        <v>446568.88751988101</v>
      </c>
      <c r="X16">
        <v>440106.95539188402</v>
      </c>
      <c r="Y16">
        <v>423980.41992367199</v>
      </c>
      <c r="Z16">
        <v>450558.77978169802</v>
      </c>
      <c r="AA16">
        <v>452567.77229986101</v>
      </c>
      <c r="AB16">
        <v>488381.29587084998</v>
      </c>
      <c r="AC16">
        <v>498127.57071052998</v>
      </c>
      <c r="AD16">
        <v>473862.92395446001</v>
      </c>
      <c r="AE16">
        <v>454746.68235563597</v>
      </c>
    </row>
    <row r="17" spans="1:31" x14ac:dyDescent="0.3">
      <c r="A17" s="3" t="s">
        <v>16</v>
      </c>
      <c r="B17">
        <v>269556.16260528902</v>
      </c>
      <c r="C17">
        <v>286488.12047415198</v>
      </c>
      <c r="D17">
        <v>340897.42015023</v>
      </c>
      <c r="E17">
        <v>353332.00435700797</v>
      </c>
      <c r="F17">
        <v>374966.00740799902</v>
      </c>
      <c r="G17">
        <v>500655.14208466897</v>
      </c>
      <c r="H17">
        <v>513116.09015339997</v>
      </c>
      <c r="I17">
        <v>576671.41578939999</v>
      </c>
      <c r="J17">
        <v>676245.51648820005</v>
      </c>
      <c r="K17">
        <v>910223.91073680006</v>
      </c>
      <c r="L17">
        <v>1664764.0464423599</v>
      </c>
      <c r="M17">
        <v>1981346.9880613701</v>
      </c>
      <c r="N17">
        <v>1917680.8395412699</v>
      </c>
      <c r="O17">
        <v>2487197.7034929902</v>
      </c>
      <c r="P17">
        <v>3116717.3150103302</v>
      </c>
      <c r="Q17">
        <v>2921609.6656679902</v>
      </c>
      <c r="R17">
        <v>3071163.7429318801</v>
      </c>
      <c r="S17">
        <v>3026839.6784878601</v>
      </c>
      <c r="T17">
        <v>3095619.3446782799</v>
      </c>
      <c r="U17">
        <v>3173744.1494869399</v>
      </c>
      <c r="V17">
        <v>3187017.2443257198</v>
      </c>
      <c r="W17">
        <v>3053882.3444065698</v>
      </c>
      <c r="X17">
        <v>2838192.1403077198</v>
      </c>
      <c r="Y17">
        <v>2767605.2535534799</v>
      </c>
      <c r="Z17">
        <v>2944106.8356598001</v>
      </c>
      <c r="AA17">
        <v>2822956.1521596601</v>
      </c>
      <c r="AB17">
        <v>2859332.22161505</v>
      </c>
      <c r="AC17">
        <v>3048826.6929084398</v>
      </c>
      <c r="AD17">
        <v>2819819.8125405898</v>
      </c>
      <c r="AE17">
        <v>2636086.8781284099</v>
      </c>
    </row>
    <row r="18" spans="1:31" x14ac:dyDescent="0.3">
      <c r="A18" s="3" t="s">
        <v>17</v>
      </c>
      <c r="B18">
        <v>29376.67374858</v>
      </c>
      <c r="C18">
        <v>35373.479999999901</v>
      </c>
      <c r="D18">
        <v>35493.788999999902</v>
      </c>
      <c r="E18">
        <v>39511.29</v>
      </c>
      <c r="F18">
        <v>33473.926500000001</v>
      </c>
      <c r="G18">
        <v>31997.0563</v>
      </c>
      <c r="H18">
        <v>33154.931599999902</v>
      </c>
      <c r="I18">
        <v>41175.8678</v>
      </c>
      <c r="J18">
        <v>43693.148999999998</v>
      </c>
      <c r="K18">
        <v>54808.1234999999</v>
      </c>
      <c r="L18">
        <v>70228.599999999904</v>
      </c>
      <c r="M18">
        <v>87946.528000000093</v>
      </c>
      <c r="N18">
        <v>88552.018400000001</v>
      </c>
      <c r="O18">
        <v>105977.47289999999</v>
      </c>
      <c r="P18">
        <v>129415.89599999999</v>
      </c>
      <c r="Q18">
        <v>105687.322</v>
      </c>
      <c r="R18">
        <v>130411.9117</v>
      </c>
      <c r="S18">
        <v>145298.9418</v>
      </c>
      <c r="T18">
        <v>148275.483299999</v>
      </c>
      <c r="U18">
        <v>160336.72824999999</v>
      </c>
      <c r="V18">
        <v>154158.2304</v>
      </c>
      <c r="W18">
        <v>155400.1697</v>
      </c>
      <c r="X18">
        <v>142124.07680000001</v>
      </c>
      <c r="Y18">
        <v>155224.02620026501</v>
      </c>
      <c r="Z18">
        <v>164719.65933286</v>
      </c>
      <c r="AA18">
        <v>161206.36412459699</v>
      </c>
      <c r="AB18">
        <v>167875.134698276</v>
      </c>
      <c r="AC18">
        <v>181914.43231914399</v>
      </c>
      <c r="AD18">
        <v>182573.61481177801</v>
      </c>
      <c r="AE18">
        <v>177665.50522648101</v>
      </c>
    </row>
    <row r="19" spans="1:31" x14ac:dyDescent="0.3">
      <c r="A19" s="3" t="s">
        <v>18</v>
      </c>
      <c r="B19">
        <v>44283.991074069701</v>
      </c>
      <c r="C19">
        <v>45416.569381678499</v>
      </c>
      <c r="D19">
        <v>50209.655981655</v>
      </c>
      <c r="E19">
        <v>61533.673565475903</v>
      </c>
      <c r="F19">
        <v>71112.724534621695</v>
      </c>
      <c r="G19">
        <v>83800.566347218104</v>
      </c>
      <c r="H19">
        <v>95648.389381033601</v>
      </c>
      <c r="I19">
        <v>124134.845839298</v>
      </c>
      <c r="J19">
        <v>126540.239221767</v>
      </c>
      <c r="K19">
        <v>179667.62666288301</v>
      </c>
      <c r="L19">
        <v>222192.11559376499</v>
      </c>
      <c r="M19">
        <v>248645.150674203</v>
      </c>
      <c r="N19">
        <v>262624.57371677202</v>
      </c>
      <c r="O19">
        <v>392907.82481329498</v>
      </c>
      <c r="P19">
        <v>521432.585886663</v>
      </c>
      <c r="Q19">
        <v>538359.98245566897</v>
      </c>
      <c r="R19">
        <v>499646.94950046798</v>
      </c>
      <c r="S19">
        <v>529363.32513503102</v>
      </c>
      <c r="T19">
        <v>532873.51728558203</v>
      </c>
      <c r="U19">
        <v>586128.165839514</v>
      </c>
      <c r="V19">
        <v>595913.37618445198</v>
      </c>
      <c r="W19">
        <v>553533.22402041196</v>
      </c>
      <c r="X19">
        <v>507524.10938792198</v>
      </c>
      <c r="Y19">
        <v>522909.52102677402</v>
      </c>
      <c r="Z19">
        <v>560561.34398103599</v>
      </c>
      <c r="AA19">
        <v>554926.03317645297</v>
      </c>
      <c r="AB19">
        <v>586411.68069070205</v>
      </c>
      <c r="AC19">
        <v>640273.74892845796</v>
      </c>
      <c r="AD19">
        <v>644775.30374015297</v>
      </c>
      <c r="AE19">
        <v>687945.690244528</v>
      </c>
    </row>
    <row r="20" spans="1:31" x14ac:dyDescent="0.3">
      <c r="A20" s="3" t="s">
        <v>19</v>
      </c>
      <c r="B20">
        <v>35217.346003563602</v>
      </c>
      <c r="C20">
        <v>47402.359955155604</v>
      </c>
      <c r="D20">
        <v>62389.772000554003</v>
      </c>
      <c r="E20">
        <v>73025.714705693899</v>
      </c>
      <c r="F20">
        <v>87173.580682827698</v>
      </c>
      <c r="G20">
        <v>111779.39144647701</v>
      </c>
      <c r="H20">
        <v>117859.51854784699</v>
      </c>
      <c r="I20">
        <v>140556.36104547899</v>
      </c>
      <c r="J20">
        <v>163307.56393229699</v>
      </c>
      <c r="K20">
        <v>216156.076076386</v>
      </c>
      <c r="L20">
        <v>281043.68593171699</v>
      </c>
      <c r="M20">
        <v>329633.36664620897</v>
      </c>
      <c r="N20">
        <v>319653.39934410102</v>
      </c>
      <c r="O20">
        <v>389868.75370823598</v>
      </c>
      <c r="P20">
        <v>481842.23273200699</v>
      </c>
      <c r="Q20">
        <v>479972.29627389798</v>
      </c>
      <c r="R20">
        <v>539302.47548596899</v>
      </c>
      <c r="S20">
        <v>512983.887134897</v>
      </c>
      <c r="T20">
        <v>465560.36268002202</v>
      </c>
      <c r="U20">
        <v>482978.55988543702</v>
      </c>
      <c r="V20">
        <v>471767.837065887</v>
      </c>
      <c r="W20">
        <v>435012.56286744901</v>
      </c>
      <c r="X20">
        <v>381800.14628496399</v>
      </c>
      <c r="Y20">
        <v>362264.67556273501</v>
      </c>
      <c r="Z20">
        <v>415908.94823515101</v>
      </c>
      <c r="AA20">
        <v>403944.091353797</v>
      </c>
      <c r="AB20">
        <v>404104.63516948302</v>
      </c>
      <c r="AC20">
        <v>444515.22753119702</v>
      </c>
      <c r="AD20">
        <v>406372.99268551002</v>
      </c>
      <c r="AE20">
        <v>373713.136218698</v>
      </c>
    </row>
    <row r="21" spans="1:31" x14ac:dyDescent="0.3">
      <c r="A21" s="3" t="s">
        <v>20</v>
      </c>
      <c r="B21">
        <v>203140.12206635199</v>
      </c>
      <c r="C21">
        <v>202206.37653756599</v>
      </c>
      <c r="D21">
        <v>242213.72491340499</v>
      </c>
      <c r="E21">
        <v>253592.87518566701</v>
      </c>
      <c r="F21">
        <v>264091.18284776801</v>
      </c>
      <c r="G21">
        <v>334703.076507886</v>
      </c>
      <c r="H21">
        <v>390483.23369303002</v>
      </c>
      <c r="I21">
        <v>452257.79487405199</v>
      </c>
      <c r="J21">
        <v>476405.305644306</v>
      </c>
      <c r="K21">
        <v>665296.71412619902</v>
      </c>
      <c r="L21">
        <v>895491.699329269</v>
      </c>
      <c r="M21">
        <v>1129758.00062931</v>
      </c>
      <c r="N21">
        <v>1250575.21662055</v>
      </c>
      <c r="O21">
        <v>1674407.88580372</v>
      </c>
      <c r="P21">
        <v>2119957.6030521002</v>
      </c>
      <c r="Q21">
        <v>2113614.7368512498</v>
      </c>
      <c r="R21">
        <v>2272268.4726730799</v>
      </c>
      <c r="S21">
        <v>2039043.73296638</v>
      </c>
      <c r="T21">
        <v>2012031.3381733501</v>
      </c>
      <c r="U21">
        <v>2008084.20453959</v>
      </c>
      <c r="V21">
        <v>1980636.45507664</v>
      </c>
      <c r="W21">
        <v>1854683.64771924</v>
      </c>
      <c r="X21">
        <v>1739186.27550896</v>
      </c>
      <c r="Y21">
        <v>1743034.5519809099</v>
      </c>
      <c r="Z21">
        <v>2073651.6352418701</v>
      </c>
      <c r="AA21">
        <v>2053436.74275085</v>
      </c>
      <c r="AB21">
        <v>2122523.3380690198</v>
      </c>
      <c r="AC21">
        <v>2456804.82990854</v>
      </c>
      <c r="AD21">
        <v>2365864.2732643099</v>
      </c>
      <c r="AE21">
        <v>2198431.79930428</v>
      </c>
    </row>
    <row r="22" spans="1:31" x14ac:dyDescent="0.3">
      <c r="A22" s="3" t="s">
        <v>21</v>
      </c>
      <c r="B22">
        <v>181467.06318396601</v>
      </c>
      <c r="C22">
        <v>202061.95956402301</v>
      </c>
      <c r="D22">
        <v>227304.667213554</v>
      </c>
      <c r="E22">
        <v>231179.69927757399</v>
      </c>
      <c r="F22">
        <v>201517.08516635999</v>
      </c>
      <c r="G22">
        <v>226453.05538891099</v>
      </c>
      <c r="H22">
        <v>219568.27058128</v>
      </c>
      <c r="I22">
        <v>232210.97386766001</v>
      </c>
      <c r="J22">
        <v>239931.46986922799</v>
      </c>
      <c r="K22">
        <v>278666.14795534499</v>
      </c>
      <c r="L22">
        <v>352526.93082070502</v>
      </c>
      <c r="M22">
        <v>431302.638619843</v>
      </c>
      <c r="N22">
        <v>433190.10604564898</v>
      </c>
      <c r="O22">
        <v>528503.41156977694</v>
      </c>
      <c r="P22">
        <v>647532.20508007496</v>
      </c>
      <c r="Q22">
        <v>628066.83246468997</v>
      </c>
      <c r="R22">
        <v>689360.00894232001</v>
      </c>
      <c r="S22">
        <v>723102.81153530197</v>
      </c>
      <c r="T22">
        <v>773763.89260871697</v>
      </c>
      <c r="U22">
        <v>817151.61234130699</v>
      </c>
      <c r="V22">
        <v>932360.78500413196</v>
      </c>
      <c r="W22">
        <v>859787.53573032096</v>
      </c>
      <c r="X22">
        <v>750198.13353817002</v>
      </c>
      <c r="Y22">
        <v>737061.00524589</v>
      </c>
      <c r="Z22">
        <v>873070.517329511</v>
      </c>
      <c r="AA22">
        <v>793330.27040627401</v>
      </c>
      <c r="AB22">
        <v>780684.58174153895</v>
      </c>
      <c r="AC22">
        <v>875979.29259994498</v>
      </c>
      <c r="AD22">
        <v>793638.662038262</v>
      </c>
      <c r="AE22">
        <v>764298.68751080299</v>
      </c>
    </row>
    <row r="23" spans="1:31" x14ac:dyDescent="0.3">
      <c r="A23" s="3" t="s">
        <v>22</v>
      </c>
      <c r="B23">
        <v>240834.332417709</v>
      </c>
      <c r="C23">
        <v>306073.53610369802</v>
      </c>
      <c r="D23">
        <v>339652.58235202101</v>
      </c>
      <c r="E23">
        <v>374876.83697266801</v>
      </c>
      <c r="F23">
        <v>413216.77000206098</v>
      </c>
      <c r="G23">
        <v>464493.950236106</v>
      </c>
      <c r="H23">
        <v>464862.82343648397</v>
      </c>
      <c r="I23">
        <v>543201.17378551804</v>
      </c>
      <c r="J23">
        <v>525932.32938889903</v>
      </c>
      <c r="K23">
        <v>624531.30566772399</v>
      </c>
      <c r="L23">
        <v>702558.169706524</v>
      </c>
      <c r="M23">
        <v>785053.40862053703</v>
      </c>
      <c r="N23">
        <v>849729.08929252799</v>
      </c>
      <c r="O23">
        <v>970850.204895854</v>
      </c>
      <c r="P23">
        <v>1344079.4922460399</v>
      </c>
      <c r="Q23">
        <v>1067771.6859072</v>
      </c>
      <c r="R23">
        <v>1061765.2310908299</v>
      </c>
      <c r="S23">
        <v>1138839.7059319499</v>
      </c>
      <c r="T23">
        <v>1185049.04864961</v>
      </c>
      <c r="U23">
        <v>1313291.0156016301</v>
      </c>
      <c r="V23">
        <v>1390196.83700613</v>
      </c>
      <c r="W23">
        <v>1253856.3757722699</v>
      </c>
      <c r="X23">
        <v>1288599.194628</v>
      </c>
      <c r="Y23">
        <v>1324636.2124689899</v>
      </c>
      <c r="Z23">
        <v>1402599.94836772</v>
      </c>
      <c r="AA23">
        <v>1353420.82574435</v>
      </c>
      <c r="AB23">
        <v>1399797.40234531</v>
      </c>
      <c r="AC23">
        <v>1646525.44216233</v>
      </c>
      <c r="AD23">
        <v>1703892.1354909299</v>
      </c>
      <c r="AE23">
        <v>1636947.80202058</v>
      </c>
    </row>
    <row r="24" spans="1:31" x14ac:dyDescent="0.3">
      <c r="A24" s="3" t="s">
        <v>23</v>
      </c>
      <c r="B24">
        <v>67606.264351684105</v>
      </c>
      <c r="C24">
        <v>66190.745221553807</v>
      </c>
      <c r="D24">
        <v>74181.468944357897</v>
      </c>
      <c r="E24">
        <v>79938.670754293693</v>
      </c>
      <c r="F24">
        <v>85892.791011830195</v>
      </c>
      <c r="G24">
        <v>96823.481699203796</v>
      </c>
      <c r="H24">
        <v>109937.690368121</v>
      </c>
      <c r="I24">
        <v>126578.646236149</v>
      </c>
      <c r="J24">
        <v>112932.64657986999</v>
      </c>
      <c r="K24">
        <v>127820.089297064</v>
      </c>
      <c r="L24">
        <v>140608.56162437701</v>
      </c>
      <c r="M24">
        <v>163296.98123444701</v>
      </c>
      <c r="N24">
        <v>181240.54963201701</v>
      </c>
      <c r="O24">
        <v>227872.11593684499</v>
      </c>
      <c r="P24">
        <v>273836.64337673102</v>
      </c>
      <c r="Q24">
        <v>286391.96354579</v>
      </c>
      <c r="R24">
        <v>273372.714986609</v>
      </c>
      <c r="S24">
        <v>312985.41780975799</v>
      </c>
      <c r="T24">
        <v>334165.80487375701</v>
      </c>
      <c r="U24">
        <v>393239.339926182</v>
      </c>
      <c r="V24">
        <v>431031.84689174301</v>
      </c>
      <c r="W24">
        <v>440340.14789546601</v>
      </c>
      <c r="X24">
        <v>399501.574364539</v>
      </c>
      <c r="Y24">
        <v>396086.22257966502</v>
      </c>
      <c r="Z24">
        <v>442714.71734211</v>
      </c>
      <c r="AA24">
        <v>407958.99635473499</v>
      </c>
      <c r="AB24">
        <v>384374.46215690399</v>
      </c>
      <c r="AC24">
        <v>377938.00242541201</v>
      </c>
      <c r="AD24">
        <v>379874.69496272202</v>
      </c>
      <c r="AE24">
        <v>391930.06788101699</v>
      </c>
    </row>
    <row r="25" spans="1:31" x14ac:dyDescent="0.3">
      <c r="A25" s="3" t="s">
        <v>24</v>
      </c>
      <c r="B25">
        <v>1566071.34350081</v>
      </c>
      <c r="C25">
        <v>1676584.9781885101</v>
      </c>
      <c r="D25">
        <v>1935031.8996283801</v>
      </c>
      <c r="E25">
        <v>2236806.1127876299</v>
      </c>
      <c r="F25">
        <v>2575422.67841142</v>
      </c>
      <c r="G25">
        <v>2740222.4431062602</v>
      </c>
      <c r="H25">
        <v>2732678.4362191199</v>
      </c>
      <c r="I25">
        <v>3051104.9042817499</v>
      </c>
      <c r="J25">
        <v>3308991.3224555599</v>
      </c>
      <c r="K25">
        <v>3794940.6110253199</v>
      </c>
      <c r="L25">
        <v>4748383.2661339296</v>
      </c>
      <c r="M25">
        <v>6088146.0785667896</v>
      </c>
      <c r="N25">
        <v>6585289.3688242603</v>
      </c>
      <c r="O25">
        <v>8212130.2851043902</v>
      </c>
      <c r="P25">
        <v>10576984.3525516</v>
      </c>
      <c r="Q25">
        <v>8578418.6985215507</v>
      </c>
      <c r="R25">
        <v>8524907.1037196498</v>
      </c>
      <c r="S25">
        <v>8618388.0253879894</v>
      </c>
      <c r="T25">
        <v>8836540.0337851997</v>
      </c>
      <c r="U25">
        <v>8636067.9533269592</v>
      </c>
      <c r="V25">
        <v>8287038.4293658799</v>
      </c>
      <c r="W25">
        <v>8011494.3525409997</v>
      </c>
      <c r="X25">
        <v>7237911.59063615</v>
      </c>
      <c r="Y25">
        <v>6678323.2667752001</v>
      </c>
      <c r="Z25">
        <v>7685768.9967536498</v>
      </c>
      <c r="AA25">
        <v>7589333.1041009398</v>
      </c>
      <c r="AB25">
        <v>7883060.0516736703</v>
      </c>
      <c r="AC25">
        <v>8711986.5881068502</v>
      </c>
      <c r="AD25">
        <v>9016149.7364304904</v>
      </c>
      <c r="AE25">
        <v>8147950.6542860297</v>
      </c>
    </row>
    <row r="26" spans="1:31" x14ac:dyDescent="0.3">
      <c r="A26" s="3" t="s">
        <v>25</v>
      </c>
      <c r="B26">
        <v>2071273.7909269601</v>
      </c>
      <c r="C26">
        <v>2269873.5672150301</v>
      </c>
      <c r="D26">
        <v>2686887.0772615401</v>
      </c>
      <c r="E26">
        <v>3077629.30421378</v>
      </c>
      <c r="F26">
        <v>3577050.6952419998</v>
      </c>
      <c r="G26">
        <v>3783522.6574487998</v>
      </c>
      <c r="H26">
        <v>3992218.6644550902</v>
      </c>
      <c r="I26">
        <v>4511576.63599882</v>
      </c>
      <c r="J26">
        <v>5092559.3852982698</v>
      </c>
      <c r="K26">
        <v>5857966.0246454403</v>
      </c>
      <c r="L26">
        <v>6311376.5556339798</v>
      </c>
      <c r="M26">
        <v>7727686.0055783996</v>
      </c>
      <c r="N26">
        <v>8551594.7298973799</v>
      </c>
      <c r="O26">
        <v>10494676.8621426</v>
      </c>
      <c r="P26">
        <v>12130246.473277999</v>
      </c>
      <c r="Q26">
        <v>12227229.597005401</v>
      </c>
      <c r="R26">
        <v>12154330.0582068</v>
      </c>
      <c r="S26">
        <v>13092822</v>
      </c>
      <c r="T26">
        <v>13992593</v>
      </c>
      <c r="U26">
        <v>14310394</v>
      </c>
      <c r="V26">
        <v>14894342</v>
      </c>
      <c r="W26">
        <v>15640128</v>
      </c>
      <c r="X26">
        <v>15565024</v>
      </c>
      <c r="Y26">
        <v>15917747</v>
      </c>
      <c r="Z26">
        <v>17112817.270014402</v>
      </c>
      <c r="AA26">
        <v>17562290.751129001</v>
      </c>
      <c r="AB26">
        <v>18990397.426903099</v>
      </c>
      <c r="AC26">
        <v>20481300.061431799</v>
      </c>
      <c r="AD26">
        <v>21710926.991879601</v>
      </c>
      <c r="AE26">
        <v>21013368.229023602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25AB-3DEA-49E4-872E-9CF42368050E}">
  <dimension ref="A1:AE26"/>
  <sheetViews>
    <sheetView topLeftCell="C1" workbookViewId="0">
      <selection activeCell="Y28" sqref="A1:XFD1048576"/>
    </sheetView>
  </sheetViews>
  <sheetFormatPr defaultRowHeight="14.4" x14ac:dyDescent="0.3"/>
  <sheetData>
    <row r="1" spans="1:3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31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2.8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87643.146900000094</v>
      </c>
      <c r="C3">
        <v>101343.65579074</v>
      </c>
      <c r="D3">
        <v>111310.45</v>
      </c>
      <c r="E3">
        <v>122701.63536458999</v>
      </c>
      <c r="F3">
        <v>106451.45543094</v>
      </c>
      <c r="G3">
        <v>113102.48224236</v>
      </c>
      <c r="H3">
        <v>127144.486</v>
      </c>
      <c r="I3">
        <v>118857.93</v>
      </c>
      <c r="J3">
        <v>121924.6422</v>
      </c>
      <c r="K3">
        <v>150335.15919999999</v>
      </c>
      <c r="L3">
        <v>213910.50000000099</v>
      </c>
      <c r="M3">
        <v>284951.96799999999</v>
      </c>
      <c r="N3">
        <v>271534.29929999902</v>
      </c>
      <c r="O3">
        <v>332081.7058</v>
      </c>
      <c r="P3">
        <v>428108.48640000098</v>
      </c>
      <c r="Q3">
        <v>339293.95040000102</v>
      </c>
      <c r="R3">
        <v>471276.10499999899</v>
      </c>
      <c r="S3">
        <v>561189.68070000003</v>
      </c>
      <c r="T3">
        <v>595341.67319999996</v>
      </c>
      <c r="U3">
        <v>654463.05449999997</v>
      </c>
      <c r="V3">
        <v>602890.91999999795</v>
      </c>
      <c r="W3">
        <v>618156.85320000001</v>
      </c>
      <c r="X3">
        <v>616171.96680000203</v>
      </c>
      <c r="Y3">
        <v>655124.28480000095</v>
      </c>
      <c r="Z3">
        <v>748988.76000000106</v>
      </c>
      <c r="AA3">
        <v>738079.76300000097</v>
      </c>
      <c r="AB3">
        <v>764167.53979999898</v>
      </c>
      <c r="AC3">
        <v>827053.853400002</v>
      </c>
      <c r="AD3">
        <v>809025.13440000103</v>
      </c>
      <c r="AE3">
        <v>823737.69750000106</v>
      </c>
    </row>
    <row r="4" spans="1:31" x14ac:dyDescent="0.3">
      <c r="A4" s="3" t="s">
        <v>3</v>
      </c>
      <c r="B4">
        <v>11397.5129704356</v>
      </c>
      <c r="C4">
        <v>13246.421733977601</v>
      </c>
      <c r="D4">
        <v>17535.685963520998</v>
      </c>
      <c r="E4">
        <v>18258.1705313128</v>
      </c>
      <c r="F4">
        <v>19694.4510409246</v>
      </c>
      <c r="G4">
        <v>23836.5795522261</v>
      </c>
      <c r="H4">
        <v>23991.254440000001</v>
      </c>
      <c r="I4">
        <v>31279.501899999999</v>
      </c>
      <c r="J4">
        <v>35163.995926313</v>
      </c>
      <c r="K4">
        <v>44618.1015960601</v>
      </c>
      <c r="L4">
        <v>56529.735797321999</v>
      </c>
      <c r="M4">
        <v>74500.127513739295</v>
      </c>
      <c r="N4">
        <v>154666.354030216</v>
      </c>
      <c r="O4">
        <v>216232.962</v>
      </c>
      <c r="P4">
        <v>313267.29629999999</v>
      </c>
      <c r="Q4">
        <v>297278.2536</v>
      </c>
      <c r="R4">
        <v>336457.89240000001</v>
      </c>
      <c r="S4">
        <v>295848.04200000002</v>
      </c>
      <c r="T4">
        <v>292228.60889999999</v>
      </c>
      <c r="U4">
        <v>313889.2182</v>
      </c>
      <c r="V4">
        <v>335957.03460000001</v>
      </c>
      <c r="W4">
        <v>314602.44839999999</v>
      </c>
      <c r="X4">
        <v>282443.61839999998</v>
      </c>
      <c r="Y4">
        <v>244849.51029999999</v>
      </c>
      <c r="Z4">
        <v>315152.054</v>
      </c>
      <c r="AA4">
        <v>270856.62</v>
      </c>
      <c r="AB4">
        <v>259207.69899999999</v>
      </c>
      <c r="AC4">
        <v>275124.40970000002</v>
      </c>
      <c r="AD4">
        <v>278361.36719999998</v>
      </c>
      <c r="AE4">
        <v>272989.87040000001</v>
      </c>
    </row>
    <row r="5" spans="1:31" x14ac:dyDescent="0.3">
      <c r="A5" s="3" t="s">
        <v>4</v>
      </c>
      <c r="B5">
        <v>94295.2090833564</v>
      </c>
      <c r="C5">
        <v>105881.429132313</v>
      </c>
      <c r="D5">
        <v>112959.88441271499</v>
      </c>
      <c r="E5">
        <v>123882.987033276</v>
      </c>
      <c r="F5">
        <v>128728.114842904</v>
      </c>
      <c r="G5">
        <v>180491.80754602401</v>
      </c>
      <c r="H5">
        <v>179923.86</v>
      </c>
      <c r="I5">
        <v>195218.9</v>
      </c>
      <c r="J5">
        <v>203537.116299999</v>
      </c>
      <c r="K5">
        <v>255745.4203</v>
      </c>
      <c r="L5">
        <v>357137.24699999997</v>
      </c>
      <c r="M5">
        <v>471071.38819999999</v>
      </c>
      <c r="N5">
        <v>478183.13709999999</v>
      </c>
      <c r="O5">
        <v>618531.68400000001</v>
      </c>
      <c r="P5">
        <v>784576.30440000095</v>
      </c>
      <c r="Q5">
        <v>952095.37080000096</v>
      </c>
      <c r="R5">
        <v>1071934.6133999999</v>
      </c>
      <c r="S5">
        <v>1117776.7308</v>
      </c>
      <c r="T5">
        <v>1178192.9924999999</v>
      </c>
      <c r="U5">
        <v>1243063.4742000001</v>
      </c>
      <c r="V5">
        <v>1256721.4242</v>
      </c>
      <c r="W5">
        <v>1110064.9850999999</v>
      </c>
      <c r="X5">
        <v>1022136.882</v>
      </c>
      <c r="Y5">
        <v>1006194.3173</v>
      </c>
      <c r="Z5">
        <v>1074743.1006</v>
      </c>
      <c r="AA5">
        <v>987847.60499999998</v>
      </c>
      <c r="AB5">
        <v>998040.91740000097</v>
      </c>
      <c r="AC5">
        <v>1032116.2642</v>
      </c>
      <c r="AD5">
        <v>971877.26440000103</v>
      </c>
      <c r="AE5">
        <v>907692.59900000005</v>
      </c>
    </row>
    <row r="6" spans="1:31" x14ac:dyDescent="0.3">
      <c r="A6" s="3" t="s">
        <v>5</v>
      </c>
      <c r="B6">
        <v>188234.98669648601</v>
      </c>
      <c r="C6">
        <v>182531.10245950599</v>
      </c>
      <c r="D6">
        <v>209369.57604037001</v>
      </c>
      <c r="E6">
        <v>260409.22721414801</v>
      </c>
      <c r="F6">
        <v>284888.83805180597</v>
      </c>
      <c r="G6">
        <v>272471.79603345302</v>
      </c>
      <c r="H6">
        <v>314921.53817251598</v>
      </c>
      <c r="I6">
        <v>347231.16994933097</v>
      </c>
      <c r="J6">
        <v>337935.71523328999</v>
      </c>
      <c r="K6">
        <v>313753.45740841498</v>
      </c>
      <c r="L6">
        <v>465153.870032885</v>
      </c>
      <c r="M6">
        <v>574098.98688474903</v>
      </c>
      <c r="N6">
        <v>669137.53187309904</v>
      </c>
      <c r="O6">
        <v>740477.516332787</v>
      </c>
      <c r="P6">
        <v>1067622.7048186201</v>
      </c>
      <c r="Q6">
        <v>663003.42423168605</v>
      </c>
      <c r="R6">
        <v>907116.52569027804</v>
      </c>
      <c r="S6">
        <v>1037189.11594034</v>
      </c>
      <c r="T6">
        <v>902885.12252029905</v>
      </c>
      <c r="U6">
        <v>1004698.94082139</v>
      </c>
      <c r="V6">
        <v>1037531.73925997</v>
      </c>
      <c r="W6">
        <v>1040124.6205334</v>
      </c>
      <c r="X6">
        <v>864233.09567189298</v>
      </c>
      <c r="Y6">
        <v>962655.22818872402</v>
      </c>
      <c r="Z6">
        <v>1000347.61928218</v>
      </c>
      <c r="AA6">
        <v>994431.07197346201</v>
      </c>
      <c r="AB6">
        <v>1301055.6209428699</v>
      </c>
      <c r="AC6">
        <v>1281395.4238147901</v>
      </c>
      <c r="AD6">
        <v>1539772.5251201701</v>
      </c>
      <c r="AE6">
        <v>1553669.99873822</v>
      </c>
    </row>
    <row r="7" spans="1:31" x14ac:dyDescent="0.3">
      <c r="A7" s="3" t="s">
        <v>6</v>
      </c>
      <c r="B7">
        <v>18456.9952011813</v>
      </c>
      <c r="C7">
        <v>23672.5300016439</v>
      </c>
      <c r="D7">
        <v>30111.792282726299</v>
      </c>
      <c r="E7">
        <v>26579.190848683698</v>
      </c>
      <c r="F7">
        <v>26076.765309112201</v>
      </c>
      <c r="G7">
        <v>35663.039223361797</v>
      </c>
      <c r="H7">
        <v>47235.2273341623</v>
      </c>
      <c r="I7">
        <v>73439.062402593394</v>
      </c>
      <c r="J7">
        <v>75437.897615791706</v>
      </c>
      <c r="K7">
        <v>82808.731750021194</v>
      </c>
      <c r="L7">
        <v>100191.18436954499</v>
      </c>
      <c r="M7">
        <v>116541.078352476</v>
      </c>
      <c r="N7">
        <v>116123.717208773</v>
      </c>
      <c r="O7">
        <v>132759.034867701</v>
      </c>
      <c r="P7">
        <v>161517.742793529</v>
      </c>
      <c r="Q7">
        <v>151986.603341596</v>
      </c>
      <c r="R7">
        <v>155210.11155854401</v>
      </c>
      <c r="S7">
        <v>140296.08251830499</v>
      </c>
      <c r="T7">
        <v>141095.44695071</v>
      </c>
      <c r="U7">
        <v>146044.42402502199</v>
      </c>
      <c r="V7">
        <v>148852.883034345</v>
      </c>
      <c r="W7">
        <v>161249.06067239499</v>
      </c>
      <c r="X7">
        <v>149047.144948756</v>
      </c>
      <c r="Y7">
        <v>168256.15358439201</v>
      </c>
      <c r="Z7">
        <v>190524.348792629</v>
      </c>
      <c r="AA7">
        <v>199851.52007853499</v>
      </c>
      <c r="AB7">
        <v>195420.54254857</v>
      </c>
      <c r="AC7">
        <v>229847.29926043301</v>
      </c>
      <c r="AD7">
        <v>231294.27543742</v>
      </c>
      <c r="AE7">
        <v>240489.65893118401</v>
      </c>
    </row>
    <row r="8" spans="1:31" x14ac:dyDescent="0.3">
      <c r="A8" s="3" t="s">
        <v>7</v>
      </c>
      <c r="B8">
        <v>7936.2088339528</v>
      </c>
      <c r="C8">
        <v>9917.1445437679195</v>
      </c>
      <c r="D8">
        <v>12542.3301059973</v>
      </c>
      <c r="E8">
        <v>12346.0884170632</v>
      </c>
      <c r="F8">
        <v>13174.497758592101</v>
      </c>
      <c r="G8">
        <v>20844.191522763002</v>
      </c>
      <c r="H8">
        <v>26342.621200000001</v>
      </c>
      <c r="I8">
        <v>36145.272499999999</v>
      </c>
      <c r="J8">
        <v>34572.517699999902</v>
      </c>
      <c r="K8">
        <v>45753.721812999996</v>
      </c>
      <c r="L8">
        <v>67338.461639999994</v>
      </c>
      <c r="M8">
        <v>79168.616387000002</v>
      </c>
      <c r="N8">
        <v>78924.112445000006</v>
      </c>
      <c r="O8">
        <v>94365.802530000001</v>
      </c>
      <c r="P8">
        <v>127258.45204800001</v>
      </c>
      <c r="Q8">
        <v>136778.16871200001</v>
      </c>
      <c r="R8">
        <v>131796.07135799999</v>
      </c>
      <c r="S8">
        <v>136221.554676</v>
      </c>
      <c r="T8">
        <v>128451.48257399999</v>
      </c>
      <c r="U8">
        <v>137048.72999399999</v>
      </c>
      <c r="V8">
        <v>131244.80970000001</v>
      </c>
      <c r="W8">
        <v>130713.6483</v>
      </c>
      <c r="X8">
        <v>131929.75469999999</v>
      </c>
      <c r="Y8">
        <v>124921.391</v>
      </c>
      <c r="Z8">
        <v>154052.48360000001</v>
      </c>
      <c r="AA8">
        <v>124513.02499999999</v>
      </c>
      <c r="AB8">
        <v>137428.8922</v>
      </c>
      <c r="AC8">
        <v>145790.5239</v>
      </c>
      <c r="AD8">
        <v>147129.27040000001</v>
      </c>
      <c r="AE8">
        <v>146048.47140000001</v>
      </c>
    </row>
    <row r="9" spans="1:31" x14ac:dyDescent="0.3">
      <c r="A9" s="3" t="s">
        <v>8</v>
      </c>
      <c r="B9">
        <v>307160.658735807</v>
      </c>
      <c r="C9">
        <v>301833.146277591</v>
      </c>
      <c r="D9">
        <v>341102.04081632599</v>
      </c>
      <c r="E9">
        <v>359211.38056139002</v>
      </c>
      <c r="F9">
        <v>399726.12347823201</v>
      </c>
      <c r="G9">
        <v>548620.622187439</v>
      </c>
      <c r="H9">
        <v>254712.65691613499</v>
      </c>
      <c r="I9">
        <v>282423.20552749699</v>
      </c>
      <c r="J9">
        <v>309585.092016668</v>
      </c>
      <c r="K9">
        <v>396830.53491136403</v>
      </c>
      <c r="L9">
        <v>534435.81424383097</v>
      </c>
      <c r="M9">
        <v>653852.72601289302</v>
      </c>
      <c r="N9">
        <v>644728.39915581699</v>
      </c>
      <c r="O9">
        <v>813434.18211599998</v>
      </c>
      <c r="P9">
        <v>996311.34154860105</v>
      </c>
      <c r="Q9">
        <v>949171.11405960098</v>
      </c>
      <c r="R9">
        <v>1032312.4936194</v>
      </c>
      <c r="S9">
        <v>1014764.1836442</v>
      </c>
      <c r="T9">
        <v>1054978.9066979401</v>
      </c>
      <c r="U9">
        <v>1116928.8341999999</v>
      </c>
      <c r="V9">
        <v>1206941.4306000001</v>
      </c>
      <c r="W9">
        <v>1097518.4757000001</v>
      </c>
      <c r="X9">
        <v>1051329.2838000001</v>
      </c>
      <c r="Y9">
        <v>1051945.1033699999</v>
      </c>
      <c r="Z9">
        <v>1222318.0449699999</v>
      </c>
      <c r="AA9">
        <v>1208102.7819999999</v>
      </c>
      <c r="AB9">
        <v>1274242.2882000001</v>
      </c>
      <c r="AC9">
        <v>1431398.1610600001</v>
      </c>
      <c r="AD9">
        <v>1453017.97648</v>
      </c>
      <c r="AE9">
        <v>1451709.36916</v>
      </c>
    </row>
    <row r="10" spans="1:31" x14ac:dyDescent="0.3">
      <c r="A10" s="3" t="s">
        <v>9</v>
      </c>
      <c r="B10">
        <v>71169.553380061407</v>
      </c>
      <c r="C10">
        <v>85717.3295454545</v>
      </c>
      <c r="D10">
        <v>101477.502615975</v>
      </c>
      <c r="E10">
        <v>101732.698739388</v>
      </c>
      <c r="F10">
        <v>214115.283745327</v>
      </c>
      <c r="G10">
        <v>278374.77585176303</v>
      </c>
      <c r="H10">
        <v>337975.56880000001</v>
      </c>
      <c r="I10">
        <v>525520.34600000002</v>
      </c>
      <c r="J10">
        <v>492102.05659999902</v>
      </c>
      <c r="K10">
        <v>651675.81310000003</v>
      </c>
      <c r="L10">
        <v>825529.63800000004</v>
      </c>
      <c r="M10">
        <v>887081.24600000004</v>
      </c>
      <c r="N10">
        <v>813160.13179999997</v>
      </c>
      <c r="O10">
        <v>1029899.268</v>
      </c>
      <c r="P10">
        <v>1246940.8329</v>
      </c>
      <c r="Q10">
        <v>1137226.2633</v>
      </c>
      <c r="R10">
        <v>1212374.3855999999</v>
      </c>
      <c r="S10">
        <v>1210518.3642</v>
      </c>
      <c r="T10">
        <v>1252020.3387</v>
      </c>
      <c r="U10">
        <v>1447955.7390000001</v>
      </c>
      <c r="V10">
        <v>1599365.7146999999</v>
      </c>
      <c r="W10">
        <v>1469339.0289</v>
      </c>
      <c r="X10">
        <v>1391420.6558999999</v>
      </c>
      <c r="Y10">
        <v>1417595.844</v>
      </c>
      <c r="Z10">
        <v>1715996.8176</v>
      </c>
      <c r="AA10">
        <v>1755565.5249999999</v>
      </c>
      <c r="AB10">
        <v>1808553.7962</v>
      </c>
      <c r="AC10">
        <v>2161688.8103999998</v>
      </c>
      <c r="AD10">
        <v>2088445.3114</v>
      </c>
      <c r="AE10">
        <v>2019117.5305999999</v>
      </c>
    </row>
    <row r="11" spans="1:31" x14ac:dyDescent="0.3">
      <c r="A11" s="3" t="s">
        <v>10</v>
      </c>
      <c r="B11">
        <v>9339.7975329208693</v>
      </c>
      <c r="C11">
        <v>11179.224871058501</v>
      </c>
      <c r="D11">
        <v>12694.080902948001</v>
      </c>
      <c r="E11">
        <v>13434.036655258</v>
      </c>
      <c r="F11">
        <v>12809.577828932001</v>
      </c>
      <c r="G11">
        <v>13084</v>
      </c>
      <c r="H11">
        <v>15386.453600000001</v>
      </c>
      <c r="I11">
        <v>12479.866</v>
      </c>
      <c r="J11">
        <v>13941.2847</v>
      </c>
      <c r="K11">
        <v>16068.181399999999</v>
      </c>
      <c r="L11">
        <v>23066.169000000002</v>
      </c>
      <c r="M11">
        <v>29272.891100000001</v>
      </c>
      <c r="N11">
        <v>30116.561300000001</v>
      </c>
      <c r="O11">
        <v>42320.478000000003</v>
      </c>
      <c r="P11">
        <v>55093.342499999999</v>
      </c>
      <c r="Q11">
        <v>40470.635999999999</v>
      </c>
      <c r="R11">
        <v>47381.334000000003</v>
      </c>
      <c r="S11">
        <v>41778.965400000001</v>
      </c>
      <c r="T11">
        <v>32691.6774</v>
      </c>
      <c r="U11">
        <v>29111.241600000001</v>
      </c>
      <c r="V11">
        <v>29949.914700000001</v>
      </c>
      <c r="W11">
        <v>25573.8024</v>
      </c>
      <c r="X11">
        <v>28395.473399999999</v>
      </c>
      <c r="Y11">
        <v>28975.1008</v>
      </c>
      <c r="Z11">
        <v>38234.883300000001</v>
      </c>
      <c r="AA11">
        <v>39820.81</v>
      </c>
      <c r="AB11">
        <v>48956.6486</v>
      </c>
      <c r="AC11">
        <v>45212.499499999998</v>
      </c>
      <c r="AD11">
        <v>49380.227400000003</v>
      </c>
      <c r="AE11">
        <v>55627.456400000003</v>
      </c>
    </row>
    <row r="12" spans="1:31" x14ac:dyDescent="0.3">
      <c r="A12" s="3" t="s">
        <v>11</v>
      </c>
      <c r="B12">
        <v>66.253614209004596</v>
      </c>
      <c r="C12">
        <v>73.654889312417495</v>
      </c>
      <c r="D12">
        <v>170.19776176605899</v>
      </c>
      <c r="E12">
        <v>135.93960233218701</v>
      </c>
      <c r="F12">
        <v>230.022166805209</v>
      </c>
      <c r="G12">
        <v>384.21811886901298</v>
      </c>
      <c r="H12">
        <v>522.56374913852505</v>
      </c>
      <c r="I12">
        <v>511.889020070838</v>
      </c>
      <c r="J12">
        <v>830.69451189897995</v>
      </c>
      <c r="K12">
        <v>882.92380243236505</v>
      </c>
      <c r="L12">
        <v>1502.0848006761501</v>
      </c>
      <c r="M12">
        <v>2475.3931847968502</v>
      </c>
      <c r="N12">
        <v>5265.7033979040998</v>
      </c>
      <c r="O12">
        <v>8610.4939994418091</v>
      </c>
      <c r="P12">
        <v>20824.850444624099</v>
      </c>
      <c r="Q12">
        <v>13239.907115607901</v>
      </c>
      <c r="R12">
        <v>13124.4035228183</v>
      </c>
      <c r="S12">
        <v>13137.514124293801</v>
      </c>
      <c r="T12">
        <v>13899.551788770301</v>
      </c>
      <c r="U12">
        <v>11711.055120552001</v>
      </c>
      <c r="V12">
        <v>16538.018173950699</v>
      </c>
      <c r="W12">
        <v>15844.791174152901</v>
      </c>
      <c r="X12">
        <v>16472.181495485798</v>
      </c>
      <c r="Y12">
        <v>17962.3027831945</v>
      </c>
      <c r="Z12">
        <v>11391.591649109399</v>
      </c>
      <c r="AA12">
        <v>9937.6085274649704</v>
      </c>
      <c r="AB12">
        <v>9745.8298926506995</v>
      </c>
      <c r="AC12">
        <v>9096.9263422686909</v>
      </c>
      <c r="AD12">
        <v>9762.5786163522007</v>
      </c>
      <c r="AE12">
        <v>10498.922838637</v>
      </c>
    </row>
    <row r="13" spans="1:31" x14ac:dyDescent="0.3">
      <c r="A13" s="3" t="s">
        <v>12</v>
      </c>
      <c r="B13">
        <v>33851.260083572597</v>
      </c>
      <c r="C13">
        <v>35646.0333383775</v>
      </c>
      <c r="D13">
        <v>43236.590704266098</v>
      </c>
      <c r="E13">
        <v>50708.816833610697</v>
      </c>
      <c r="F13">
        <v>60088.939705958001</v>
      </c>
      <c r="G13">
        <v>84115.166492353805</v>
      </c>
      <c r="H13">
        <v>98462.402391279596</v>
      </c>
      <c r="I13">
        <v>171851.66785013801</v>
      </c>
      <c r="J13">
        <v>181267.5466</v>
      </c>
      <c r="K13">
        <v>257098.2433</v>
      </c>
      <c r="L13">
        <v>341635.185</v>
      </c>
      <c r="M13">
        <v>376248.79670000001</v>
      </c>
      <c r="N13">
        <v>401786.9448</v>
      </c>
      <c r="O13">
        <v>437681.24400000001</v>
      </c>
      <c r="P13">
        <v>539206.6764</v>
      </c>
      <c r="Q13">
        <v>546858.77309999999</v>
      </c>
      <c r="R13">
        <v>642821.65079999994</v>
      </c>
      <c r="S13">
        <v>628190.37840000005</v>
      </c>
      <c r="T13">
        <v>669386.22600000002</v>
      </c>
      <c r="U13">
        <v>780591.34439999994</v>
      </c>
      <c r="V13">
        <v>861791.31539999996</v>
      </c>
      <c r="W13">
        <v>918722.82510000002</v>
      </c>
      <c r="X13">
        <v>1423854.1176</v>
      </c>
      <c r="Y13">
        <v>1474353.8585000001</v>
      </c>
      <c r="Z13">
        <v>1706223.7219</v>
      </c>
      <c r="AA13">
        <v>1774313.7549999999</v>
      </c>
      <c r="AB13">
        <v>1746880.2596</v>
      </c>
      <c r="AC13">
        <v>1952862.1595000001</v>
      </c>
      <c r="AD13">
        <v>2018783.6158</v>
      </c>
      <c r="AE13">
        <v>1980844.7228000001</v>
      </c>
    </row>
    <row r="14" spans="1:31" x14ac:dyDescent="0.3">
      <c r="A14" s="3" t="s">
        <v>13</v>
      </c>
      <c r="B14">
        <v>54537.932005845199</v>
      </c>
      <c r="C14">
        <v>60954.508081043597</v>
      </c>
      <c r="D14">
        <v>65980.110050986899</v>
      </c>
      <c r="E14">
        <v>74640.171611894402</v>
      </c>
      <c r="F14">
        <v>85468.316979309602</v>
      </c>
      <c r="G14">
        <v>108821.60788821</v>
      </c>
      <c r="H14">
        <v>137627.1862</v>
      </c>
      <c r="I14">
        <v>152621.5405</v>
      </c>
      <c r="J14">
        <v>149054.269</v>
      </c>
      <c r="K14">
        <v>177913.0037</v>
      </c>
      <c r="L14">
        <v>242570.51699999999</v>
      </c>
      <c r="M14">
        <v>294195.89270000003</v>
      </c>
      <c r="N14">
        <v>304472.31209999998</v>
      </c>
      <c r="O14">
        <v>401644.17300000001</v>
      </c>
      <c r="P14">
        <v>505882.7487</v>
      </c>
      <c r="Q14">
        <v>425950.6605</v>
      </c>
      <c r="R14">
        <v>500774.16899999999</v>
      </c>
      <c r="S14">
        <v>434772.75599999999</v>
      </c>
      <c r="T14">
        <v>456205.84980000003</v>
      </c>
      <c r="U14">
        <v>493348.72859999997</v>
      </c>
      <c r="V14">
        <v>526183.19310000003</v>
      </c>
      <c r="W14">
        <v>493937.1594</v>
      </c>
      <c r="X14">
        <v>460440.6249</v>
      </c>
      <c r="Y14">
        <v>469276.8872</v>
      </c>
      <c r="Z14">
        <v>546476.63589999999</v>
      </c>
      <c r="AA14">
        <v>560387.04500000004</v>
      </c>
      <c r="AB14">
        <v>583223.2206</v>
      </c>
      <c r="AC14">
        <v>647458.45429999998</v>
      </c>
      <c r="AD14">
        <v>626189.62280000001</v>
      </c>
      <c r="AE14">
        <v>650429.74560000002</v>
      </c>
    </row>
    <row r="15" spans="1:31" x14ac:dyDescent="0.3">
      <c r="A15" s="3" t="s">
        <v>14</v>
      </c>
      <c r="B15">
        <v>16890</v>
      </c>
      <c r="C15">
        <v>19170.042109484701</v>
      </c>
      <c r="D15">
        <v>38296.217057278998</v>
      </c>
      <c r="E15">
        <v>34869.414487648297</v>
      </c>
      <c r="F15">
        <v>29077.658735948098</v>
      </c>
      <c r="G15">
        <v>28700.338130438398</v>
      </c>
      <c r="H15">
        <v>48680.609219657999</v>
      </c>
      <c r="I15">
        <v>53052.679889369203</v>
      </c>
      <c r="J15">
        <v>52488.322435579401</v>
      </c>
      <c r="K15">
        <v>82582.054577914794</v>
      </c>
      <c r="L15">
        <v>96404.9981564669</v>
      </c>
      <c r="M15">
        <v>102129.936713435</v>
      </c>
      <c r="N15">
        <v>104913.477246065</v>
      </c>
      <c r="O15">
        <v>112907.603198078</v>
      </c>
      <c r="P15">
        <v>137743.82908492599</v>
      </c>
      <c r="Q15">
        <v>213860.90514767499</v>
      </c>
      <c r="R15">
        <v>212416.66743058199</v>
      </c>
      <c r="S15">
        <v>230022.63804997099</v>
      </c>
      <c r="T15">
        <v>242200.59710009399</v>
      </c>
      <c r="U15">
        <v>222152.74906729799</v>
      </c>
      <c r="V15">
        <v>185669.94031064599</v>
      </c>
      <c r="W15">
        <v>196850.264746776</v>
      </c>
      <c r="X15">
        <v>205562.00640217401</v>
      </c>
      <c r="Y15">
        <v>241710.97212458</v>
      </c>
      <c r="Z15">
        <v>256211.39329952199</v>
      </c>
      <c r="AA15">
        <v>276845.952151114</v>
      </c>
      <c r="AB15">
        <v>314608.99596589099</v>
      </c>
      <c r="AC15">
        <v>387803.23488752701</v>
      </c>
      <c r="AD15">
        <v>356291.18918337103</v>
      </c>
      <c r="AE15">
        <v>348043.76027236797</v>
      </c>
    </row>
    <row r="16" spans="1:31" x14ac:dyDescent="0.3">
      <c r="A16" s="3" t="s">
        <v>15</v>
      </c>
      <c r="B16">
        <v>43544.111681458897</v>
      </c>
      <c r="C16">
        <v>34257.560947878701</v>
      </c>
      <c r="D16">
        <v>42081.800128976698</v>
      </c>
      <c r="E16">
        <v>57025.661526582298</v>
      </c>
      <c r="F16">
        <v>71889.6007926038</v>
      </c>
      <c r="G16">
        <v>77550.2969062224</v>
      </c>
      <c r="H16">
        <v>97547.159037104298</v>
      </c>
      <c r="I16">
        <v>114934.236033765</v>
      </c>
      <c r="J16">
        <v>144725.24743342301</v>
      </c>
      <c r="K16">
        <v>147439.96361126</v>
      </c>
      <c r="L16">
        <v>157953.533623542</v>
      </c>
      <c r="M16">
        <v>178794.91940109499</v>
      </c>
      <c r="N16">
        <v>212373.73368898599</v>
      </c>
      <c r="O16">
        <v>250373.13799477401</v>
      </c>
      <c r="P16">
        <v>275392.61372449697</v>
      </c>
      <c r="Q16">
        <v>245651.543401845</v>
      </c>
      <c r="R16">
        <v>314033.99844900001</v>
      </c>
      <c r="S16">
        <v>384933.73242700001</v>
      </c>
      <c r="T16">
        <v>367795.85833800002</v>
      </c>
      <c r="U16">
        <v>461350.12077799998</v>
      </c>
      <c r="V16">
        <v>507875.95571355202</v>
      </c>
      <c r="W16">
        <v>502688.25995202898</v>
      </c>
      <c r="X16">
        <v>478452.67858730699</v>
      </c>
      <c r="Y16">
        <v>486670.685695705</v>
      </c>
      <c r="Z16">
        <v>544479.94182935206</v>
      </c>
      <c r="AA16">
        <v>570381.42900658201</v>
      </c>
      <c r="AB16">
        <v>616321.38684849802</v>
      </c>
      <c r="AC16">
        <v>592507.62362243701</v>
      </c>
      <c r="AD16">
        <v>641300.65776374098</v>
      </c>
      <c r="AE16">
        <v>712355.25441959396</v>
      </c>
    </row>
    <row r="17" spans="1:31" x14ac:dyDescent="0.3">
      <c r="A17" s="3" t="s">
        <v>16</v>
      </c>
      <c r="B17">
        <v>74478.334793137197</v>
      </c>
      <c r="C17">
        <v>93409.057495245201</v>
      </c>
      <c r="D17">
        <v>116048.990276739</v>
      </c>
      <c r="E17">
        <v>126542.785042441</v>
      </c>
      <c r="F17">
        <v>122192.643267896</v>
      </c>
      <c r="G17">
        <v>164473.210504024</v>
      </c>
      <c r="H17">
        <v>192228.20079999999</v>
      </c>
      <c r="I17">
        <v>243732.37849999999</v>
      </c>
      <c r="J17">
        <v>282882.31790000002</v>
      </c>
      <c r="K17">
        <v>349969.01789999998</v>
      </c>
      <c r="L17">
        <v>1717462.764</v>
      </c>
      <c r="M17">
        <v>2037471.4051000001</v>
      </c>
      <c r="N17">
        <v>1995751.5765</v>
      </c>
      <c r="O17">
        <v>2597163.5099999998</v>
      </c>
      <c r="P17">
        <v>3692468.43</v>
      </c>
      <c r="Q17">
        <v>3600986.1740999999</v>
      </c>
      <c r="R17">
        <v>3754591.1214000001</v>
      </c>
      <c r="S17">
        <v>3683895.3827999998</v>
      </c>
      <c r="T17">
        <v>3976082.2415999998</v>
      </c>
      <c r="U17">
        <v>4298519.4390000002</v>
      </c>
      <c r="V17">
        <v>4868301.6086999997</v>
      </c>
      <c r="W17">
        <v>4550327.8181999996</v>
      </c>
      <c r="X17">
        <v>4623898.3338000001</v>
      </c>
      <c r="Y17">
        <v>4787468.1618999997</v>
      </c>
      <c r="Z17">
        <v>5672296.8289000001</v>
      </c>
      <c r="AA17">
        <v>5349365.5750000002</v>
      </c>
      <c r="AB17">
        <v>5450943.5055999998</v>
      </c>
      <c r="AC17">
        <v>5560533.7052999996</v>
      </c>
      <c r="AD17">
        <v>5356371.2019999996</v>
      </c>
      <c r="AE17">
        <v>5277229.6191999996</v>
      </c>
    </row>
    <row r="18" spans="1:31" x14ac:dyDescent="0.3">
      <c r="A18" s="3" t="s">
        <v>17</v>
      </c>
      <c r="B18">
        <v>21009.761648039999</v>
      </c>
      <c r="C18">
        <v>27808.042499999901</v>
      </c>
      <c r="D18">
        <v>30620.1709999999</v>
      </c>
      <c r="E18">
        <v>42011.235999999997</v>
      </c>
      <c r="F18">
        <v>38891.880299999997</v>
      </c>
      <c r="G18">
        <v>39759.347099999999</v>
      </c>
      <c r="H18">
        <v>44089.093399999903</v>
      </c>
      <c r="I18">
        <v>28147.708600000002</v>
      </c>
      <c r="J18">
        <v>24573.085500000001</v>
      </c>
      <c r="K18">
        <v>37666.336499999903</v>
      </c>
      <c r="L18">
        <v>46740.85</v>
      </c>
      <c r="M18">
        <v>55604.878400000103</v>
      </c>
      <c r="N18">
        <v>54437.727400000003</v>
      </c>
      <c r="O18">
        <v>60432.804900000199</v>
      </c>
      <c r="P18">
        <v>71882.927999999898</v>
      </c>
      <c r="Q18">
        <v>53655.296500000099</v>
      </c>
      <c r="R18">
        <v>67618.238100000002</v>
      </c>
      <c r="S18">
        <v>72071.135599999994</v>
      </c>
      <c r="T18">
        <v>73422.360899999694</v>
      </c>
      <c r="U18">
        <v>81805.99325</v>
      </c>
      <c r="V18">
        <v>84031.950599999996</v>
      </c>
      <c r="W18">
        <v>85537.305299999905</v>
      </c>
      <c r="X18">
        <v>74148.774399999806</v>
      </c>
      <c r="Y18">
        <v>77166.747961814501</v>
      </c>
      <c r="Z18">
        <v>82681.334279630901</v>
      </c>
      <c r="AA18">
        <v>83259.264232008602</v>
      </c>
      <c r="AB18">
        <v>87009.024784482797</v>
      </c>
      <c r="AC18">
        <v>99061.935390619401</v>
      </c>
      <c r="AD18">
        <v>99719.204755072802</v>
      </c>
      <c r="AE18">
        <v>101299.968324359</v>
      </c>
    </row>
    <row r="19" spans="1:31" x14ac:dyDescent="0.3">
      <c r="A19" s="3" t="s">
        <v>18</v>
      </c>
      <c r="B19">
        <v>13620.64379</v>
      </c>
      <c r="C19">
        <v>16282.16504</v>
      </c>
      <c r="D19">
        <v>18800.44311</v>
      </c>
      <c r="E19">
        <v>21001.164140000001</v>
      </c>
      <c r="F19">
        <v>22485.88652</v>
      </c>
      <c r="G19">
        <v>25618.421052631598</v>
      </c>
      <c r="H19">
        <v>29429.6909011754</v>
      </c>
      <c r="I19">
        <v>30265.016669492001</v>
      </c>
      <c r="J19">
        <v>32669.0043943362</v>
      </c>
      <c r="K19">
        <v>42781.055744577003</v>
      </c>
      <c r="L19">
        <v>48967.065868263599</v>
      </c>
      <c r="M19">
        <v>85027.814569536393</v>
      </c>
      <c r="N19">
        <v>92067.060561299906</v>
      </c>
      <c r="O19">
        <v>110013.418530351</v>
      </c>
      <c r="P19">
        <v>161563.585951941</v>
      </c>
      <c r="Q19">
        <v>153679.42857142899</v>
      </c>
      <c r="R19">
        <v>190962.283737024</v>
      </c>
      <c r="S19">
        <v>213951.706484642</v>
      </c>
      <c r="T19">
        <v>222194.15692821401</v>
      </c>
      <c r="U19">
        <v>272297.84560143598</v>
      </c>
      <c r="V19">
        <v>260397.86184210499</v>
      </c>
      <c r="W19">
        <v>228533.10901749699</v>
      </c>
      <c r="X19">
        <v>204009.64812712799</v>
      </c>
      <c r="Y19">
        <v>191707.540603248</v>
      </c>
      <c r="Z19">
        <v>205518.14859926901</v>
      </c>
      <c r="AA19">
        <v>200939.24050632899</v>
      </c>
      <c r="AB19">
        <v>218863.895216401</v>
      </c>
      <c r="AC19">
        <v>223496.951934349</v>
      </c>
      <c r="AD19">
        <v>242436.16780045399</v>
      </c>
      <c r="AE19">
        <v>225080.730223124</v>
      </c>
    </row>
    <row r="20" spans="1:31" x14ac:dyDescent="0.3">
      <c r="A20" s="3" t="s">
        <v>19</v>
      </c>
      <c r="B20">
        <v>15336.6208892346</v>
      </c>
      <c r="C20">
        <v>18723.081202700101</v>
      </c>
      <c r="D20">
        <v>20875.480217233799</v>
      </c>
      <c r="E20">
        <v>21723.671291940202</v>
      </c>
      <c r="F20">
        <v>23410.5108044769</v>
      </c>
      <c r="G20">
        <v>34379.634641420504</v>
      </c>
      <c r="H20">
        <v>33623.962</v>
      </c>
      <c r="I20">
        <v>39106.123500000002</v>
      </c>
      <c r="J20">
        <v>45651.339999999902</v>
      </c>
      <c r="K20">
        <v>55593.684399999998</v>
      </c>
      <c r="L20">
        <v>78774.573000000004</v>
      </c>
      <c r="M20">
        <v>87691.998000000007</v>
      </c>
      <c r="N20">
        <v>82216.8321</v>
      </c>
      <c r="O20">
        <v>110348.796</v>
      </c>
      <c r="P20">
        <v>137545.6635</v>
      </c>
      <c r="Q20">
        <v>126479.0877</v>
      </c>
      <c r="R20">
        <v>142530.0828</v>
      </c>
      <c r="S20">
        <v>142130.25779999999</v>
      </c>
      <c r="T20">
        <v>132321.9774</v>
      </c>
      <c r="U20">
        <v>157127.34599999999</v>
      </c>
      <c r="V20">
        <v>181940.5257</v>
      </c>
      <c r="W20">
        <v>171260.946</v>
      </c>
      <c r="X20">
        <v>158447.2206</v>
      </c>
      <c r="Y20">
        <v>157561.5975</v>
      </c>
      <c r="Z20">
        <v>195080.53659999999</v>
      </c>
      <c r="AA20">
        <v>187121.625</v>
      </c>
      <c r="AB20">
        <v>195326.6814</v>
      </c>
      <c r="AC20">
        <v>211056.2916</v>
      </c>
      <c r="AD20">
        <v>207861.54759999999</v>
      </c>
      <c r="AE20">
        <v>207482.4982</v>
      </c>
    </row>
    <row r="21" spans="1:31" x14ac:dyDescent="0.3">
      <c r="A21" s="3" t="s">
        <v>20</v>
      </c>
      <c r="B21">
        <v>81778.165300181397</v>
      </c>
      <c r="C21">
        <v>97480.624568275205</v>
      </c>
      <c r="D21">
        <v>110683.721964599</v>
      </c>
      <c r="E21">
        <v>109373.45267568099</v>
      </c>
      <c r="F21">
        <v>101857.58922097299</v>
      </c>
      <c r="G21">
        <v>121564.86859445</v>
      </c>
      <c r="H21">
        <v>144200.28400000001</v>
      </c>
      <c r="I21">
        <v>185788.2825</v>
      </c>
      <c r="J21">
        <v>216111.504699999</v>
      </c>
      <c r="K21">
        <v>314219.8836</v>
      </c>
      <c r="L21">
        <v>441202.527</v>
      </c>
      <c r="M21">
        <v>549983.28960000002</v>
      </c>
      <c r="N21">
        <v>522086.85230000003</v>
      </c>
      <c r="O21">
        <v>647351.59499999997</v>
      </c>
      <c r="P21">
        <v>811392.07799999998</v>
      </c>
      <c r="Q21">
        <v>789192.71070000005</v>
      </c>
      <c r="R21">
        <v>835511.98500000103</v>
      </c>
      <c r="S21">
        <v>787624.42619999999</v>
      </c>
      <c r="T21">
        <v>761100.44579999999</v>
      </c>
      <c r="U21">
        <v>730960.79399999999</v>
      </c>
      <c r="V21">
        <v>812451.25470000005</v>
      </c>
      <c r="W21">
        <v>752329.20600000001</v>
      </c>
      <c r="X21">
        <v>717404.30850000004</v>
      </c>
      <c r="Y21">
        <v>749462.99179999996</v>
      </c>
      <c r="Z21">
        <v>903535.82979999995</v>
      </c>
      <c r="AA21">
        <v>932396.4</v>
      </c>
      <c r="AB21">
        <v>955788.72</v>
      </c>
      <c r="AC21">
        <v>1084277.831</v>
      </c>
      <c r="AD21">
        <v>1077877.2984</v>
      </c>
      <c r="AE21">
        <v>1082293.9524000001</v>
      </c>
    </row>
    <row r="22" spans="1:31" x14ac:dyDescent="0.3">
      <c r="A22" s="3" t="s">
        <v>21</v>
      </c>
      <c r="B22">
        <v>12886.132353826701</v>
      </c>
      <c r="C22">
        <v>23453.729142933698</v>
      </c>
      <c r="D22">
        <v>33041.9632933826</v>
      </c>
      <c r="E22">
        <v>34056.178140008698</v>
      </c>
      <c r="F22">
        <v>62928.779992382901</v>
      </c>
      <c r="G22">
        <v>58982.756481826102</v>
      </c>
      <c r="H22">
        <v>102323.284457478</v>
      </c>
      <c r="I22">
        <v>123690.823282643</v>
      </c>
      <c r="J22">
        <v>131008.76494023899</v>
      </c>
      <c r="K22">
        <v>170168.49858356899</v>
      </c>
      <c r="L22">
        <v>223574.66755689101</v>
      </c>
      <c r="M22">
        <v>279143.41003235301</v>
      </c>
      <c r="N22">
        <v>250431.242460796</v>
      </c>
      <c r="O22">
        <v>315651.47718664398</v>
      </c>
      <c r="P22">
        <v>417944.36821753799</v>
      </c>
      <c r="Q22">
        <v>396891.66005172499</v>
      </c>
      <c r="R22">
        <v>466462.44642731699</v>
      </c>
      <c r="S22">
        <v>487203.00460527302</v>
      </c>
      <c r="T22">
        <v>487224.03705155599</v>
      </c>
      <c r="U22">
        <v>518282.57360289001</v>
      </c>
      <c r="V22">
        <v>532629.284846975</v>
      </c>
      <c r="W22">
        <v>430643.952123672</v>
      </c>
      <c r="X22">
        <v>423413.302056677</v>
      </c>
      <c r="Y22">
        <v>415622.25508154801</v>
      </c>
      <c r="Z22">
        <v>496593.56725146202</v>
      </c>
      <c r="AA22">
        <v>462624.66224514903</v>
      </c>
      <c r="AB22">
        <v>486894.17483036401</v>
      </c>
      <c r="AC22">
        <v>570592.86797436804</v>
      </c>
      <c r="AD22">
        <v>596189.796528031</v>
      </c>
      <c r="AE22">
        <v>548008.40102423495</v>
      </c>
    </row>
    <row r="23" spans="1:31" x14ac:dyDescent="0.3">
      <c r="A23" s="3" t="s">
        <v>22</v>
      </c>
      <c r="B23">
        <v>55281.919567421399</v>
      </c>
      <c r="C23">
        <v>69813.953488372106</v>
      </c>
      <c r="D23">
        <v>85240.417209908701</v>
      </c>
      <c r="E23">
        <v>78614.973262032101</v>
      </c>
      <c r="F23">
        <v>84167.456881742604</v>
      </c>
      <c r="G23">
        <v>100566.146022521</v>
      </c>
      <c r="H23">
        <v>104912.772271783</v>
      </c>
      <c r="I23">
        <v>123492.035790842</v>
      </c>
      <c r="J23">
        <v>125710.686904724</v>
      </c>
      <c r="K23">
        <v>173262.657176796</v>
      </c>
      <c r="L23">
        <v>228782.30147118401</v>
      </c>
      <c r="M23">
        <v>280948.16027075698</v>
      </c>
      <c r="N23">
        <v>252731.092693479</v>
      </c>
      <c r="O23">
        <v>382383.374244751</v>
      </c>
      <c r="P23">
        <v>551242.84284388798</v>
      </c>
      <c r="Q23">
        <v>644907.85458479403</v>
      </c>
      <c r="R23">
        <v>733912.41502875695</v>
      </c>
      <c r="S23">
        <v>888599.149824564</v>
      </c>
      <c r="T23">
        <v>973465.415242502</v>
      </c>
      <c r="U23">
        <v>1058582.5517607799</v>
      </c>
      <c r="V23">
        <v>1083483.3015404399</v>
      </c>
      <c r="W23">
        <v>1227276.1171742501</v>
      </c>
      <c r="X23">
        <v>1403708.48655556</v>
      </c>
      <c r="Y23">
        <v>1725040.59068543</v>
      </c>
      <c r="Z23">
        <v>1937909.7813367399</v>
      </c>
      <c r="AA23">
        <v>1853545.7773138401</v>
      </c>
      <c r="AB23">
        <v>2041058.2399531701</v>
      </c>
      <c r="AC23">
        <v>2009753.18639025</v>
      </c>
      <c r="AD23">
        <v>1788249.1934374501</v>
      </c>
      <c r="AE23">
        <v>1789706.17471463</v>
      </c>
    </row>
    <row r="24" spans="1:31" x14ac:dyDescent="0.3">
      <c r="A24" s="3" t="s">
        <v>23</v>
      </c>
      <c r="B24">
        <v>8923.6762980263193</v>
      </c>
      <c r="C24">
        <v>8127.2949282484396</v>
      </c>
      <c r="D24">
        <v>10464.9839358346</v>
      </c>
      <c r="E24">
        <v>11212.961966455299</v>
      </c>
      <c r="F24">
        <v>12761.055170346999</v>
      </c>
      <c r="G24">
        <v>15409.4513170029</v>
      </c>
      <c r="H24">
        <v>15945.566578793199</v>
      </c>
      <c r="I24">
        <v>18812</v>
      </c>
      <c r="J24">
        <v>20316</v>
      </c>
      <c r="K24">
        <v>18817</v>
      </c>
      <c r="L24">
        <v>33230</v>
      </c>
      <c r="M24">
        <v>38623</v>
      </c>
      <c r="N24">
        <v>71420</v>
      </c>
      <c r="O24">
        <v>95464</v>
      </c>
      <c r="P24">
        <v>155672</v>
      </c>
      <c r="Q24">
        <v>81311</v>
      </c>
      <c r="R24">
        <v>145743</v>
      </c>
      <c r="S24">
        <v>189762</v>
      </c>
      <c r="T24">
        <v>138587</v>
      </c>
      <c r="U24">
        <v>192604</v>
      </c>
      <c r="V24">
        <v>152836</v>
      </c>
      <c r="W24">
        <v>184118</v>
      </c>
      <c r="X24">
        <v>159286</v>
      </c>
      <c r="Y24">
        <v>150307</v>
      </c>
      <c r="Z24">
        <v>198070</v>
      </c>
      <c r="AA24">
        <v>146521</v>
      </c>
      <c r="AB24">
        <v>162153</v>
      </c>
      <c r="AC24">
        <v>230994</v>
      </c>
      <c r="AD24">
        <v>140435</v>
      </c>
      <c r="AE24">
        <v>204528</v>
      </c>
    </row>
    <row r="25" spans="1:31" x14ac:dyDescent="0.3">
      <c r="A25" s="3" t="s">
        <v>24</v>
      </c>
      <c r="B25">
        <v>201292.1176</v>
      </c>
      <c r="C25">
        <v>203045.3125</v>
      </c>
      <c r="D25">
        <v>226625.5</v>
      </c>
      <c r="E25">
        <v>259169.136</v>
      </c>
      <c r="F25">
        <v>287314.674</v>
      </c>
      <c r="G25">
        <v>355398.45750000002</v>
      </c>
      <c r="H25">
        <v>562466.79</v>
      </c>
      <c r="I25">
        <v>640271.6838</v>
      </c>
      <c r="J25">
        <v>697018.728</v>
      </c>
      <c r="K25">
        <v>786269.88780000003</v>
      </c>
      <c r="L25">
        <v>883460.40929999901</v>
      </c>
      <c r="M25">
        <v>1017795.6522</v>
      </c>
      <c r="N25">
        <v>1191590.9598999999</v>
      </c>
      <c r="O25">
        <v>1520127.57</v>
      </c>
      <c r="P25">
        <v>1578923.6148000001</v>
      </c>
      <c r="Q25">
        <v>1376671.9722</v>
      </c>
      <c r="R25">
        <v>1427116.3559999999</v>
      </c>
      <c r="S25">
        <v>1484361.7005</v>
      </c>
      <c r="T25">
        <v>1536990.3788000001</v>
      </c>
      <c r="U25">
        <v>1973939.1359999999</v>
      </c>
      <c r="V25">
        <v>2083694.3932</v>
      </c>
      <c r="W25">
        <v>2066055.9328000001</v>
      </c>
      <c r="X25">
        <v>2005357.4646000001</v>
      </c>
      <c r="Y25">
        <v>1901576.7291999999</v>
      </c>
      <c r="Z25">
        <v>2400513.89175</v>
      </c>
      <c r="AA25">
        <v>2378142.6423499999</v>
      </c>
      <c r="AB25">
        <v>2513579.4708500002</v>
      </c>
      <c r="AC25">
        <v>3062970.0639999998</v>
      </c>
      <c r="AD25">
        <v>3252469.4682</v>
      </c>
      <c r="AE25">
        <v>3127547.7072000001</v>
      </c>
    </row>
    <row r="26" spans="1:31" x14ac:dyDescent="0.3">
      <c r="A26" s="3" t="s">
        <v>25</v>
      </c>
      <c r="B26">
        <v>911710</v>
      </c>
      <c r="C26">
        <v>877354</v>
      </c>
      <c r="D26">
        <v>1135542</v>
      </c>
      <c r="E26">
        <v>1370076</v>
      </c>
      <c r="F26">
        <v>1794795</v>
      </c>
      <c r="G26">
        <v>2368530</v>
      </c>
      <c r="H26">
        <v>3009958</v>
      </c>
      <c r="I26">
        <v>3023792</v>
      </c>
      <c r="J26">
        <v>2799823</v>
      </c>
      <c r="K26">
        <v>2282370</v>
      </c>
      <c r="L26">
        <v>2763061</v>
      </c>
      <c r="M26">
        <v>3101450</v>
      </c>
      <c r="N26">
        <v>3227144</v>
      </c>
      <c r="O26">
        <v>3752602</v>
      </c>
      <c r="P26">
        <v>4134239</v>
      </c>
      <c r="Q26">
        <v>3091240</v>
      </c>
      <c r="R26">
        <v>3618630</v>
      </c>
      <c r="S26">
        <v>4099097</v>
      </c>
      <c r="T26">
        <v>4199225</v>
      </c>
      <c r="U26">
        <v>4662434</v>
      </c>
      <c r="V26">
        <v>5814935</v>
      </c>
      <c r="W26">
        <v>6378893</v>
      </c>
      <c r="X26">
        <v>6729220</v>
      </c>
      <c r="Y26">
        <v>7510517</v>
      </c>
      <c r="Z26">
        <v>8835252</v>
      </c>
      <c r="AA26">
        <v>8393517</v>
      </c>
      <c r="AB26">
        <v>10454728</v>
      </c>
      <c r="AC26">
        <v>11875581</v>
      </c>
      <c r="AD26">
        <v>14882645</v>
      </c>
      <c r="AE26">
        <v>12262731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9BA0-5D18-4402-9110-56D16A645EBA}">
  <dimension ref="A1:AE26"/>
  <sheetViews>
    <sheetView topLeftCell="C1" workbookViewId="0">
      <selection activeCell="O30" sqref="O30"/>
    </sheetView>
  </sheetViews>
  <sheetFormatPr defaultRowHeight="14.4" x14ac:dyDescent="0.3"/>
  <sheetData>
    <row r="1" spans="1:31" x14ac:dyDescent="0.3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 t="s">
        <v>32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2.8" customHeight="1" x14ac:dyDescent="0.3">
      <c r="A2" s="2" t="s">
        <v>1</v>
      </c>
      <c r="B2" s="2">
        <v>1993</v>
      </c>
      <c r="C2" s="2">
        <v>1994</v>
      </c>
      <c r="D2" s="2">
        <v>1995</v>
      </c>
      <c r="E2" s="2">
        <v>1996</v>
      </c>
      <c r="F2" s="2">
        <v>1997</v>
      </c>
      <c r="G2" s="2">
        <v>1998</v>
      </c>
      <c r="H2" s="2">
        <v>1999</v>
      </c>
      <c r="I2" s="2">
        <v>2000</v>
      </c>
      <c r="J2" s="2">
        <v>2001</v>
      </c>
      <c r="K2" s="2">
        <v>2002</v>
      </c>
      <c r="L2" s="2">
        <v>2003</v>
      </c>
      <c r="M2" s="2">
        <v>2004</v>
      </c>
      <c r="N2" s="2">
        <v>2005</v>
      </c>
      <c r="O2" s="2">
        <v>2006</v>
      </c>
      <c r="P2" s="2">
        <v>2007</v>
      </c>
      <c r="Q2" s="2">
        <v>2008</v>
      </c>
      <c r="R2" s="2">
        <v>2009</v>
      </c>
      <c r="S2" s="2">
        <v>2010</v>
      </c>
      <c r="T2" s="2">
        <v>2011</v>
      </c>
      <c r="U2" s="2">
        <v>2012</v>
      </c>
      <c r="V2" s="2">
        <v>2013</v>
      </c>
      <c r="W2" s="2">
        <v>2014</v>
      </c>
      <c r="X2" s="2">
        <v>2015</v>
      </c>
      <c r="Y2" s="2">
        <v>2016</v>
      </c>
      <c r="Z2" s="2">
        <v>2017</v>
      </c>
      <c r="AA2" s="2">
        <v>2018</v>
      </c>
      <c r="AB2" s="2">
        <v>2019</v>
      </c>
      <c r="AC2" s="2">
        <v>2020</v>
      </c>
      <c r="AD2" s="2">
        <v>2021</v>
      </c>
      <c r="AE2" s="2">
        <v>2022</v>
      </c>
    </row>
    <row r="3" spans="1:31" x14ac:dyDescent="0.3">
      <c r="A3" s="3" t="s">
        <v>2</v>
      </c>
      <c r="B3">
        <v>309307</v>
      </c>
      <c r="C3">
        <v>353372</v>
      </c>
      <c r="D3">
        <v>379069</v>
      </c>
      <c r="E3">
        <v>424687</v>
      </c>
      <c r="F3">
        <v>426422</v>
      </c>
      <c r="G3">
        <v>381385</v>
      </c>
      <c r="H3">
        <v>411725</v>
      </c>
      <c r="I3">
        <v>399959</v>
      </c>
      <c r="J3">
        <v>377778</v>
      </c>
      <c r="K3">
        <v>425285</v>
      </c>
      <c r="L3">
        <v>541060</v>
      </c>
      <c r="M3">
        <v>658568</v>
      </c>
      <c r="N3">
        <v>735936</v>
      </c>
      <c r="O3">
        <v>782794</v>
      </c>
      <c r="P3">
        <v>949528</v>
      </c>
      <c r="Q3">
        <v>1056477</v>
      </c>
      <c r="R3">
        <v>1000798</v>
      </c>
      <c r="S3">
        <v>1254473</v>
      </c>
      <c r="T3">
        <v>1515073</v>
      </c>
      <c r="U3">
        <v>1569414</v>
      </c>
      <c r="V3">
        <v>1519034</v>
      </c>
      <c r="W3">
        <v>1456624</v>
      </c>
      <c r="X3">
        <v>1233105</v>
      </c>
      <c r="Y3">
        <v>1263521</v>
      </c>
      <c r="Z3">
        <v>1381656</v>
      </c>
      <c r="AA3">
        <v>1417059</v>
      </c>
      <c r="AB3">
        <v>1385482</v>
      </c>
      <c r="AC3">
        <v>1360849</v>
      </c>
      <c r="AD3">
        <v>1645304</v>
      </c>
      <c r="AE3">
        <v>1702554</v>
      </c>
    </row>
    <row r="4" spans="1:31" x14ac:dyDescent="0.3">
      <c r="A4" s="3" t="s">
        <v>3</v>
      </c>
      <c r="B4">
        <v>190383.337886967</v>
      </c>
      <c r="C4">
        <v>203970.22260155901</v>
      </c>
      <c r="D4">
        <v>241234.441024609</v>
      </c>
      <c r="E4">
        <v>237342.60306330901</v>
      </c>
      <c r="F4">
        <v>213045.24315439799</v>
      </c>
      <c r="G4">
        <v>218556.71723174199</v>
      </c>
      <c r="H4">
        <v>217474.875476649</v>
      </c>
      <c r="I4">
        <v>197376.89824658699</v>
      </c>
      <c r="J4">
        <v>197510.138046673</v>
      </c>
      <c r="K4">
        <v>214243.351862585</v>
      </c>
      <c r="L4">
        <v>262208.00437235303</v>
      </c>
      <c r="M4">
        <v>301320.654171762</v>
      </c>
      <c r="N4">
        <v>316267.076723415</v>
      </c>
      <c r="O4">
        <v>336297.819165205</v>
      </c>
      <c r="P4">
        <v>389231.48693474598</v>
      </c>
      <c r="Q4">
        <v>432004.586459496</v>
      </c>
      <c r="R4">
        <v>401322.60826554598</v>
      </c>
      <c r="S4">
        <v>392595.43971268903</v>
      </c>
      <c r="T4">
        <v>431609</v>
      </c>
      <c r="U4">
        <v>409661</v>
      </c>
      <c r="V4">
        <v>430197</v>
      </c>
      <c r="W4">
        <v>442699</v>
      </c>
      <c r="X4">
        <v>382010</v>
      </c>
      <c r="Y4">
        <v>395728</v>
      </c>
      <c r="Z4">
        <v>417114</v>
      </c>
      <c r="AA4">
        <v>455198</v>
      </c>
      <c r="AB4">
        <v>444670</v>
      </c>
      <c r="AC4">
        <v>434877</v>
      </c>
      <c r="AD4">
        <v>480688</v>
      </c>
      <c r="AE4">
        <v>471026</v>
      </c>
    </row>
    <row r="5" spans="1:31" x14ac:dyDescent="0.3">
      <c r="A5" s="3" t="s">
        <v>4</v>
      </c>
      <c r="B5">
        <v>218720.37988560501</v>
      </c>
      <c r="C5">
        <v>238622.025527463</v>
      </c>
      <c r="D5">
        <v>288300.62465906999</v>
      </c>
      <c r="E5">
        <v>279291.71414485102</v>
      </c>
      <c r="F5">
        <v>253022.495632165</v>
      </c>
      <c r="G5">
        <v>258875.58082231699</v>
      </c>
      <c r="H5">
        <v>258500.427162073</v>
      </c>
      <c r="I5">
        <v>236896.704806252</v>
      </c>
      <c r="J5">
        <v>236747.84566730601</v>
      </c>
      <c r="K5">
        <v>258200.169683449</v>
      </c>
      <c r="L5">
        <v>318003.78688882501</v>
      </c>
      <c r="M5">
        <v>369047.49683002598</v>
      </c>
      <c r="N5">
        <v>385927.214693991</v>
      </c>
      <c r="O5">
        <v>408280.84446146601</v>
      </c>
      <c r="P5">
        <v>470977.802185487</v>
      </c>
      <c r="Q5">
        <v>517269.793157098</v>
      </c>
      <c r="R5">
        <v>482729.72108641901</v>
      </c>
      <c r="S5">
        <v>481813.94438890403</v>
      </c>
      <c r="T5">
        <v>523238.54069791001</v>
      </c>
      <c r="U5">
        <v>496467.45274190698</v>
      </c>
      <c r="V5">
        <v>521799</v>
      </c>
      <c r="W5">
        <v>535529</v>
      </c>
      <c r="X5">
        <v>462383</v>
      </c>
      <c r="Y5">
        <v>475931</v>
      </c>
      <c r="Z5">
        <v>502587</v>
      </c>
      <c r="AA5">
        <v>543546</v>
      </c>
      <c r="AB5">
        <v>535924</v>
      </c>
      <c r="AC5">
        <v>524792</v>
      </c>
      <c r="AD5">
        <v>594748</v>
      </c>
      <c r="AE5">
        <v>579059</v>
      </c>
    </row>
    <row r="6" spans="1:31" x14ac:dyDescent="0.3">
      <c r="A6" s="3" t="s">
        <v>5</v>
      </c>
      <c r="B6">
        <v>579059.00103092205</v>
      </c>
      <c r="C6">
        <v>579913.15672848595</v>
      </c>
      <c r="D6">
        <v>605941.03699213301</v>
      </c>
      <c r="E6">
        <v>630597.98788928206</v>
      </c>
      <c r="F6">
        <v>655010.32172614499</v>
      </c>
      <c r="G6">
        <v>634003.80095933902</v>
      </c>
      <c r="H6">
        <v>678416.726524011</v>
      </c>
      <c r="I6">
        <v>744631.343104942</v>
      </c>
      <c r="J6">
        <v>738967.89420053398</v>
      </c>
      <c r="K6">
        <v>760148.65927888604</v>
      </c>
      <c r="L6">
        <v>895598.83745603997</v>
      </c>
      <c r="M6">
        <v>1026473.4436669</v>
      </c>
      <c r="N6">
        <v>1173505.0148833301</v>
      </c>
      <c r="O6">
        <v>1319355.5415004401</v>
      </c>
      <c r="P6">
        <v>1468895.7044039101</v>
      </c>
      <c r="Q6">
        <v>1552864.13086959</v>
      </c>
      <c r="R6">
        <v>1376509.21019279</v>
      </c>
      <c r="S6">
        <v>1617345.30902133</v>
      </c>
      <c r="T6">
        <v>1793326.63017452</v>
      </c>
      <c r="U6">
        <v>1828362.4789789501</v>
      </c>
      <c r="V6">
        <v>1846595.48034633</v>
      </c>
      <c r="W6">
        <v>1805750.78362446</v>
      </c>
      <c r="X6">
        <v>1556508</v>
      </c>
      <c r="Y6">
        <v>1527996</v>
      </c>
      <c r="Z6">
        <v>1649266</v>
      </c>
      <c r="AA6">
        <v>1725300</v>
      </c>
      <c r="AB6">
        <v>1743725</v>
      </c>
      <c r="AC6">
        <v>1647598</v>
      </c>
      <c r="AD6">
        <v>2001487</v>
      </c>
      <c r="AE6">
        <v>2137939</v>
      </c>
    </row>
    <row r="7" spans="1:31" x14ac:dyDescent="0.3">
      <c r="A7" s="3" t="s">
        <v>6</v>
      </c>
      <c r="B7">
        <v>143195</v>
      </c>
      <c r="C7">
        <v>156164</v>
      </c>
      <c r="D7">
        <v>185008</v>
      </c>
      <c r="E7">
        <v>187633</v>
      </c>
      <c r="F7">
        <v>173539</v>
      </c>
      <c r="G7">
        <v>176991</v>
      </c>
      <c r="H7">
        <v>177964</v>
      </c>
      <c r="I7">
        <v>164158</v>
      </c>
      <c r="J7">
        <v>164791</v>
      </c>
      <c r="K7">
        <v>178635</v>
      </c>
      <c r="L7">
        <v>218097</v>
      </c>
      <c r="M7">
        <v>251375</v>
      </c>
      <c r="N7">
        <v>264467</v>
      </c>
      <c r="O7">
        <v>282886</v>
      </c>
      <c r="P7">
        <v>319424</v>
      </c>
      <c r="Q7">
        <v>353359</v>
      </c>
      <c r="R7">
        <v>321243</v>
      </c>
      <c r="S7">
        <v>321995</v>
      </c>
      <c r="T7">
        <v>344003</v>
      </c>
      <c r="U7">
        <v>327149</v>
      </c>
      <c r="V7">
        <v>343584</v>
      </c>
      <c r="W7">
        <v>352994</v>
      </c>
      <c r="X7">
        <v>302673</v>
      </c>
      <c r="Y7">
        <v>313116</v>
      </c>
      <c r="Z7">
        <v>332121</v>
      </c>
      <c r="AA7">
        <v>356841</v>
      </c>
      <c r="AB7">
        <v>346499</v>
      </c>
      <c r="AC7">
        <v>354763</v>
      </c>
      <c r="AD7">
        <v>405688</v>
      </c>
      <c r="AE7">
        <v>401125</v>
      </c>
    </row>
    <row r="8" spans="1:31" x14ac:dyDescent="0.3">
      <c r="A8" s="3" t="s">
        <v>7</v>
      </c>
      <c r="B8">
        <v>89279.000129957305</v>
      </c>
      <c r="C8">
        <v>103738.630477018</v>
      </c>
      <c r="D8">
        <v>134339.49103569999</v>
      </c>
      <c r="E8">
        <v>132183.120685214</v>
      </c>
      <c r="F8">
        <v>127076.133736531</v>
      </c>
      <c r="G8">
        <v>134212.31722890199</v>
      </c>
      <c r="H8">
        <v>135398.38144206701</v>
      </c>
      <c r="I8">
        <v>126075.21841816101</v>
      </c>
      <c r="J8">
        <v>129533.990667793</v>
      </c>
      <c r="K8">
        <v>140305.24746341899</v>
      </c>
      <c r="L8">
        <v>171609.477407948</v>
      </c>
      <c r="M8">
        <v>197389.806959576</v>
      </c>
      <c r="N8">
        <v>204998.742751057</v>
      </c>
      <c r="O8">
        <v>217100.772148491</v>
      </c>
      <c r="P8">
        <v>256408.28769783801</v>
      </c>
      <c r="Q8">
        <v>285685.00880663597</v>
      </c>
      <c r="R8">
        <v>253222.26730017501</v>
      </c>
      <c r="S8">
        <v>249628.02483659601</v>
      </c>
      <c r="T8">
        <v>275555.85736313899</v>
      </c>
      <c r="U8">
        <v>258454</v>
      </c>
      <c r="V8">
        <v>271366</v>
      </c>
      <c r="W8">
        <v>274934</v>
      </c>
      <c r="X8">
        <v>234558</v>
      </c>
      <c r="Y8">
        <v>240705</v>
      </c>
      <c r="Z8">
        <v>255558</v>
      </c>
      <c r="AA8">
        <v>275833</v>
      </c>
      <c r="AB8">
        <v>268545</v>
      </c>
      <c r="AC8">
        <v>271668</v>
      </c>
      <c r="AD8">
        <v>296970</v>
      </c>
      <c r="AE8">
        <v>283124</v>
      </c>
    </row>
    <row r="9" spans="1:31" x14ac:dyDescent="0.3">
      <c r="A9" s="3" t="s">
        <v>8</v>
      </c>
      <c r="B9">
        <v>1324235.96464823</v>
      </c>
      <c r="C9">
        <v>1396652.80130763</v>
      </c>
      <c r="D9">
        <v>1602130.06192915</v>
      </c>
      <c r="E9">
        <v>1606034.67071681</v>
      </c>
      <c r="F9">
        <v>1454554.7786409301</v>
      </c>
      <c r="G9">
        <v>1505184.1516980601</v>
      </c>
      <c r="H9">
        <v>1494634.22265085</v>
      </c>
      <c r="I9">
        <v>1366242.99574044</v>
      </c>
      <c r="J9">
        <v>1377666.7342782901</v>
      </c>
      <c r="K9">
        <v>1500348.45557556</v>
      </c>
      <c r="L9">
        <v>1844082.9269840899</v>
      </c>
      <c r="M9">
        <v>2118671.0683269398</v>
      </c>
      <c r="N9">
        <v>2198159.5682585998</v>
      </c>
      <c r="O9">
        <v>2320659.17365256</v>
      </c>
      <c r="P9">
        <v>2660904.8569805999</v>
      </c>
      <c r="Q9">
        <v>2929982.74442728</v>
      </c>
      <c r="R9">
        <v>2697954.6803520201</v>
      </c>
      <c r="S9">
        <v>2647348.30447153</v>
      </c>
      <c r="T9">
        <v>2864653.3528859299</v>
      </c>
      <c r="U9">
        <v>2685371.14302351</v>
      </c>
      <c r="V9">
        <v>2811917.8829960302</v>
      </c>
      <c r="W9">
        <v>2856701</v>
      </c>
      <c r="X9">
        <v>2439436</v>
      </c>
      <c r="Y9">
        <v>2472282</v>
      </c>
      <c r="Z9">
        <v>2594235</v>
      </c>
      <c r="AA9">
        <v>2792223</v>
      </c>
      <c r="AB9">
        <v>2729171</v>
      </c>
      <c r="AC9">
        <v>2645300</v>
      </c>
      <c r="AD9">
        <v>2958431</v>
      </c>
      <c r="AE9">
        <v>2780136</v>
      </c>
    </row>
    <row r="10" spans="1:31" x14ac:dyDescent="0.3">
      <c r="A10" s="3" t="s">
        <v>9</v>
      </c>
      <c r="B10">
        <v>2072457.2432841801</v>
      </c>
      <c r="C10">
        <v>2209934.4440729301</v>
      </c>
      <c r="D10">
        <v>2588001.9247949701</v>
      </c>
      <c r="E10">
        <v>2498113.08421836</v>
      </c>
      <c r="F10">
        <v>2214694.3858884498</v>
      </c>
      <c r="G10">
        <v>2242065.2099293899</v>
      </c>
      <c r="H10">
        <v>2197124.5438897298</v>
      </c>
      <c r="I10">
        <v>1948842.6028170199</v>
      </c>
      <c r="J10">
        <v>1945804.2431991601</v>
      </c>
      <c r="K10">
        <v>2077015.81667154</v>
      </c>
      <c r="L10">
        <v>2501013.9898852399</v>
      </c>
      <c r="M10">
        <v>2813076.4184619202</v>
      </c>
      <c r="N10">
        <v>2848437.78212409</v>
      </c>
      <c r="O10">
        <v>2994862</v>
      </c>
      <c r="P10">
        <v>3425982</v>
      </c>
      <c r="Q10">
        <v>3744854</v>
      </c>
      <c r="R10">
        <v>3407557</v>
      </c>
      <c r="S10">
        <v>3402444</v>
      </c>
      <c r="T10">
        <v>3748655</v>
      </c>
      <c r="U10">
        <v>3529377</v>
      </c>
      <c r="V10">
        <v>3733859</v>
      </c>
      <c r="W10">
        <v>3890095</v>
      </c>
      <c r="X10">
        <v>3357926</v>
      </c>
      <c r="Y10">
        <v>3468896</v>
      </c>
      <c r="Z10">
        <v>3689547</v>
      </c>
      <c r="AA10">
        <v>3976246</v>
      </c>
      <c r="AB10">
        <v>3889607</v>
      </c>
      <c r="AC10">
        <v>3884615</v>
      </c>
      <c r="AD10">
        <v>4281348</v>
      </c>
      <c r="AE10">
        <v>4085681</v>
      </c>
    </row>
    <row r="11" spans="1:31" x14ac:dyDescent="0.3">
      <c r="A11" s="3" t="s">
        <v>10</v>
      </c>
      <c r="B11">
        <v>109022</v>
      </c>
      <c r="C11">
        <v>116678</v>
      </c>
      <c r="D11">
        <v>136942</v>
      </c>
      <c r="E11">
        <v>145872</v>
      </c>
      <c r="F11">
        <v>143326</v>
      </c>
      <c r="G11">
        <v>144644</v>
      </c>
      <c r="H11">
        <v>149412</v>
      </c>
      <c r="I11">
        <v>132198</v>
      </c>
      <c r="J11">
        <v>136310</v>
      </c>
      <c r="K11">
        <v>154455</v>
      </c>
      <c r="L11">
        <v>202320</v>
      </c>
      <c r="M11">
        <v>240854</v>
      </c>
      <c r="N11">
        <v>248012</v>
      </c>
      <c r="O11">
        <v>273562</v>
      </c>
      <c r="P11">
        <v>318941</v>
      </c>
      <c r="Q11">
        <v>355869</v>
      </c>
      <c r="R11">
        <v>330949</v>
      </c>
      <c r="S11">
        <v>297368</v>
      </c>
      <c r="T11">
        <v>282946</v>
      </c>
      <c r="U11">
        <v>242183</v>
      </c>
      <c r="V11">
        <v>238911</v>
      </c>
      <c r="W11">
        <v>235519</v>
      </c>
      <c r="X11">
        <v>195703</v>
      </c>
      <c r="Y11">
        <v>193095</v>
      </c>
      <c r="Z11">
        <v>199773</v>
      </c>
      <c r="AA11">
        <v>212146</v>
      </c>
      <c r="AB11">
        <v>205279</v>
      </c>
      <c r="AC11">
        <v>188775</v>
      </c>
      <c r="AD11">
        <v>215017</v>
      </c>
      <c r="AE11">
        <v>219238</v>
      </c>
    </row>
    <row r="12" spans="1:31" x14ac:dyDescent="0.3">
      <c r="A12" s="3" t="s">
        <v>11</v>
      </c>
      <c r="B12">
        <v>6225</v>
      </c>
      <c r="C12">
        <v>6393</v>
      </c>
      <c r="D12">
        <v>7124</v>
      </c>
      <c r="E12">
        <v>7426</v>
      </c>
      <c r="F12">
        <v>7570</v>
      </c>
      <c r="G12">
        <v>8504</v>
      </c>
      <c r="H12">
        <v>8982</v>
      </c>
      <c r="I12">
        <v>9026</v>
      </c>
      <c r="J12">
        <v>8235</v>
      </c>
      <c r="K12">
        <v>9318</v>
      </c>
      <c r="L12">
        <v>11429</v>
      </c>
      <c r="M12">
        <v>13825</v>
      </c>
      <c r="N12">
        <v>16853</v>
      </c>
      <c r="O12">
        <v>17465</v>
      </c>
      <c r="P12">
        <v>21653</v>
      </c>
      <c r="Q12">
        <v>18075</v>
      </c>
      <c r="R12">
        <v>13154</v>
      </c>
      <c r="S12">
        <v>13751</v>
      </c>
      <c r="T12">
        <v>15222</v>
      </c>
      <c r="U12">
        <v>14752</v>
      </c>
      <c r="V12">
        <v>16125</v>
      </c>
      <c r="W12">
        <v>17868</v>
      </c>
      <c r="X12">
        <v>17517</v>
      </c>
      <c r="Y12">
        <v>20793</v>
      </c>
      <c r="Z12">
        <v>24728</v>
      </c>
      <c r="AA12">
        <v>26261</v>
      </c>
      <c r="AB12">
        <v>24681</v>
      </c>
      <c r="AC12">
        <v>21566</v>
      </c>
      <c r="AD12">
        <v>25596</v>
      </c>
      <c r="AE12">
        <v>28065</v>
      </c>
    </row>
    <row r="13" spans="1:31" x14ac:dyDescent="0.3">
      <c r="A13" s="3" t="s">
        <v>12</v>
      </c>
      <c r="B13">
        <v>51364</v>
      </c>
      <c r="C13">
        <v>55843</v>
      </c>
      <c r="D13">
        <v>69260</v>
      </c>
      <c r="E13">
        <v>75928</v>
      </c>
      <c r="F13">
        <v>82957</v>
      </c>
      <c r="G13">
        <v>90305</v>
      </c>
      <c r="H13">
        <v>98993</v>
      </c>
      <c r="I13">
        <v>100253</v>
      </c>
      <c r="J13">
        <v>109347</v>
      </c>
      <c r="K13">
        <v>128505</v>
      </c>
      <c r="L13">
        <v>164630</v>
      </c>
      <c r="M13">
        <v>194283</v>
      </c>
      <c r="N13">
        <v>211993</v>
      </c>
      <c r="O13">
        <v>232193</v>
      </c>
      <c r="P13">
        <v>270112</v>
      </c>
      <c r="Q13">
        <v>275417</v>
      </c>
      <c r="R13">
        <v>236187</v>
      </c>
      <c r="S13">
        <v>222096</v>
      </c>
      <c r="T13">
        <v>239129</v>
      </c>
      <c r="U13">
        <v>225262</v>
      </c>
      <c r="V13">
        <v>238115</v>
      </c>
      <c r="W13">
        <v>259750</v>
      </c>
      <c r="X13">
        <v>292394</v>
      </c>
      <c r="Y13">
        <v>298477</v>
      </c>
      <c r="Z13">
        <v>337124</v>
      </c>
      <c r="AA13">
        <v>386868</v>
      </c>
      <c r="AB13">
        <v>398977</v>
      </c>
      <c r="AC13">
        <v>428266</v>
      </c>
      <c r="AD13">
        <v>513733</v>
      </c>
      <c r="AE13">
        <v>533559</v>
      </c>
    </row>
    <row r="14" spans="1:31" x14ac:dyDescent="0.3">
      <c r="A14" s="3" t="s">
        <v>13</v>
      </c>
      <c r="B14">
        <v>1047616</v>
      </c>
      <c r="C14">
        <v>1080544</v>
      </c>
      <c r="D14">
        <v>1175278</v>
      </c>
      <c r="E14">
        <v>1312783</v>
      </c>
      <c r="F14">
        <v>1243228</v>
      </c>
      <c r="G14">
        <v>1271701</v>
      </c>
      <c r="H14">
        <v>1253690</v>
      </c>
      <c r="I14">
        <v>1147183</v>
      </c>
      <c r="J14">
        <v>1168032</v>
      </c>
      <c r="K14">
        <v>1275867</v>
      </c>
      <c r="L14">
        <v>1577228</v>
      </c>
      <c r="M14">
        <v>1805723</v>
      </c>
      <c r="N14">
        <v>1859244</v>
      </c>
      <c r="O14">
        <v>1949657</v>
      </c>
      <c r="P14">
        <v>2213364</v>
      </c>
      <c r="Q14">
        <v>2408392</v>
      </c>
      <c r="R14">
        <v>2197540</v>
      </c>
      <c r="S14">
        <v>2137845</v>
      </c>
      <c r="T14">
        <v>2294591</v>
      </c>
      <c r="U14">
        <v>2088280</v>
      </c>
      <c r="V14">
        <v>2141954</v>
      </c>
      <c r="W14">
        <v>2162567</v>
      </c>
      <c r="X14">
        <v>1836824</v>
      </c>
      <c r="Y14">
        <v>1876554</v>
      </c>
      <c r="Z14">
        <v>1961104</v>
      </c>
      <c r="AA14">
        <v>2092881</v>
      </c>
      <c r="AB14">
        <v>2011525</v>
      </c>
      <c r="AC14">
        <v>1895693</v>
      </c>
      <c r="AD14">
        <v>2115762</v>
      </c>
      <c r="AE14">
        <v>2012014</v>
      </c>
    </row>
    <row r="15" spans="1:31" x14ac:dyDescent="0.3">
      <c r="A15" s="3" t="s">
        <v>14</v>
      </c>
      <c r="B15">
        <v>4544766</v>
      </c>
      <c r="C15">
        <v>4998798</v>
      </c>
      <c r="D15">
        <v>5545566</v>
      </c>
      <c r="E15">
        <v>4923393</v>
      </c>
      <c r="F15">
        <v>4492449</v>
      </c>
      <c r="G15">
        <v>4098363</v>
      </c>
      <c r="H15">
        <v>4635982</v>
      </c>
      <c r="I15">
        <v>4968360</v>
      </c>
      <c r="J15">
        <v>4374710</v>
      </c>
      <c r="K15">
        <v>4182845</v>
      </c>
      <c r="L15">
        <v>4519564</v>
      </c>
      <c r="M15">
        <v>4893135</v>
      </c>
      <c r="N15">
        <v>4831467</v>
      </c>
      <c r="O15">
        <v>4601663</v>
      </c>
      <c r="P15">
        <v>4579750</v>
      </c>
      <c r="Q15">
        <v>5106679</v>
      </c>
      <c r="R15">
        <v>5289494</v>
      </c>
      <c r="S15">
        <v>5759072</v>
      </c>
      <c r="T15">
        <v>6233148</v>
      </c>
      <c r="U15">
        <v>6272362</v>
      </c>
      <c r="V15">
        <v>5212328</v>
      </c>
      <c r="W15">
        <v>4896995</v>
      </c>
      <c r="X15">
        <v>4444931</v>
      </c>
      <c r="Y15">
        <v>5003678</v>
      </c>
      <c r="Z15">
        <v>4930837</v>
      </c>
      <c r="AA15">
        <v>5040881</v>
      </c>
      <c r="AB15">
        <v>5117995</v>
      </c>
      <c r="AC15">
        <v>5050683</v>
      </c>
      <c r="AD15">
        <v>5011869</v>
      </c>
      <c r="AE15">
        <v>4237528</v>
      </c>
    </row>
    <row r="16" spans="1:31" x14ac:dyDescent="0.3">
      <c r="A16" s="3" t="s">
        <v>15</v>
      </c>
      <c r="B16">
        <v>530226</v>
      </c>
      <c r="C16">
        <v>553618</v>
      </c>
      <c r="D16">
        <v>380182</v>
      </c>
      <c r="E16">
        <v>432158</v>
      </c>
      <c r="F16">
        <v>523450</v>
      </c>
      <c r="G16">
        <v>557485</v>
      </c>
      <c r="H16">
        <v>631240</v>
      </c>
      <c r="I16">
        <v>742061</v>
      </c>
      <c r="J16">
        <v>796055</v>
      </c>
      <c r="K16">
        <v>810666</v>
      </c>
      <c r="L16">
        <v>765550</v>
      </c>
      <c r="M16">
        <v>819459</v>
      </c>
      <c r="N16">
        <v>917572</v>
      </c>
      <c r="O16">
        <v>1020265</v>
      </c>
      <c r="P16">
        <v>1102356</v>
      </c>
      <c r="Q16">
        <v>1161553</v>
      </c>
      <c r="R16">
        <v>943437</v>
      </c>
      <c r="S16">
        <v>1105424</v>
      </c>
      <c r="T16">
        <v>1229014</v>
      </c>
      <c r="U16">
        <v>1255110</v>
      </c>
      <c r="V16">
        <v>1327436</v>
      </c>
      <c r="W16">
        <v>1364508</v>
      </c>
      <c r="X16">
        <v>1213294</v>
      </c>
      <c r="Y16">
        <v>1112233</v>
      </c>
      <c r="Z16">
        <v>1190721</v>
      </c>
      <c r="AA16">
        <v>1256300</v>
      </c>
      <c r="AB16">
        <v>1305212</v>
      </c>
      <c r="AC16">
        <v>1120741</v>
      </c>
      <c r="AD16">
        <v>1312557</v>
      </c>
      <c r="AE16">
        <v>1465854</v>
      </c>
    </row>
    <row r="17" spans="1:31" x14ac:dyDescent="0.3">
      <c r="A17" s="3" t="s">
        <v>16</v>
      </c>
      <c r="B17">
        <v>355931.39741070999</v>
      </c>
      <c r="C17">
        <v>382549.77251053299</v>
      </c>
      <c r="D17">
        <v>452710.34799177398</v>
      </c>
      <c r="E17">
        <v>450625.319772808</v>
      </c>
      <c r="F17">
        <v>417329.04040306801</v>
      </c>
      <c r="G17">
        <v>438610.20190447499</v>
      </c>
      <c r="H17">
        <v>447493.37893810199</v>
      </c>
      <c r="I17">
        <v>417663.77839329501</v>
      </c>
      <c r="J17">
        <v>431589.79559274099</v>
      </c>
      <c r="K17">
        <v>473527.139245959</v>
      </c>
      <c r="L17">
        <v>579925.11390236195</v>
      </c>
      <c r="M17">
        <v>658081.23915900895</v>
      </c>
      <c r="N17">
        <v>685726.99972026004</v>
      </c>
      <c r="O17">
        <v>733994.15811906499</v>
      </c>
      <c r="P17">
        <v>848658.90937110095</v>
      </c>
      <c r="Q17">
        <v>951765.71348229004</v>
      </c>
      <c r="R17">
        <v>870572.32275842596</v>
      </c>
      <c r="S17">
        <v>848072.94616982597</v>
      </c>
      <c r="T17">
        <v>905111.32354283298</v>
      </c>
      <c r="U17">
        <v>839454.565280176</v>
      </c>
      <c r="V17">
        <v>877185.60825566703</v>
      </c>
      <c r="W17">
        <v>892397.91780719697</v>
      </c>
      <c r="X17">
        <v>765650</v>
      </c>
      <c r="Y17">
        <v>783844</v>
      </c>
      <c r="Z17">
        <v>833575</v>
      </c>
      <c r="AA17">
        <v>914458</v>
      </c>
      <c r="AB17">
        <v>910295</v>
      </c>
      <c r="AC17">
        <v>909065</v>
      </c>
      <c r="AD17">
        <v>1030363</v>
      </c>
      <c r="AE17">
        <v>1010193</v>
      </c>
    </row>
    <row r="18" spans="1:31" x14ac:dyDescent="0.3">
      <c r="A18" s="3" t="s">
        <v>17</v>
      </c>
      <c r="B18">
        <v>44797</v>
      </c>
      <c r="C18">
        <v>52901</v>
      </c>
      <c r="D18">
        <v>62263</v>
      </c>
      <c r="E18">
        <v>69095</v>
      </c>
      <c r="F18">
        <v>68863</v>
      </c>
      <c r="G18">
        <v>56813</v>
      </c>
      <c r="H18">
        <v>58892</v>
      </c>
      <c r="I18">
        <v>54126</v>
      </c>
      <c r="J18">
        <v>53128</v>
      </c>
      <c r="K18">
        <v>62061</v>
      </c>
      <c r="L18">
        <v>82411</v>
      </c>
      <c r="M18">
        <v>101601</v>
      </c>
      <c r="N18">
        <v>113264</v>
      </c>
      <c r="O18">
        <v>109739</v>
      </c>
      <c r="P18">
        <v>134879</v>
      </c>
      <c r="Q18">
        <v>135373</v>
      </c>
      <c r="R18">
        <v>121701</v>
      </c>
      <c r="S18">
        <v>145362</v>
      </c>
      <c r="T18">
        <v>166939</v>
      </c>
      <c r="U18">
        <v>175037</v>
      </c>
      <c r="V18">
        <v>187139</v>
      </c>
      <c r="W18">
        <v>200159</v>
      </c>
      <c r="X18">
        <v>176213</v>
      </c>
      <c r="Y18">
        <v>185898</v>
      </c>
      <c r="Z18">
        <v>203558</v>
      </c>
      <c r="AA18">
        <v>209623</v>
      </c>
      <c r="AB18">
        <v>210830</v>
      </c>
      <c r="AC18">
        <v>210084</v>
      </c>
      <c r="AD18">
        <v>249384</v>
      </c>
      <c r="AE18">
        <v>242024</v>
      </c>
    </row>
    <row r="19" spans="1:31" x14ac:dyDescent="0.3">
      <c r="A19" s="3" t="s">
        <v>18</v>
      </c>
      <c r="B19">
        <v>120578.43604247901</v>
      </c>
      <c r="C19">
        <v>127132</v>
      </c>
      <c r="D19">
        <v>152031</v>
      </c>
      <c r="E19">
        <v>163520</v>
      </c>
      <c r="F19">
        <v>161357</v>
      </c>
      <c r="G19">
        <v>154230</v>
      </c>
      <c r="H19">
        <v>162384</v>
      </c>
      <c r="I19">
        <v>171456</v>
      </c>
      <c r="J19">
        <v>174240</v>
      </c>
      <c r="K19">
        <v>195915</v>
      </c>
      <c r="L19">
        <v>229385</v>
      </c>
      <c r="M19">
        <v>265267</v>
      </c>
      <c r="N19">
        <v>309979</v>
      </c>
      <c r="O19">
        <v>346914</v>
      </c>
      <c r="P19">
        <v>402646</v>
      </c>
      <c r="Q19">
        <v>464915</v>
      </c>
      <c r="R19">
        <v>387974</v>
      </c>
      <c r="S19">
        <v>431052</v>
      </c>
      <c r="T19">
        <v>501361</v>
      </c>
      <c r="U19">
        <v>512777</v>
      </c>
      <c r="V19">
        <v>526014</v>
      </c>
      <c r="W19">
        <v>501737</v>
      </c>
      <c r="X19">
        <v>388160</v>
      </c>
      <c r="Y19">
        <v>370957</v>
      </c>
      <c r="Z19">
        <v>401745</v>
      </c>
      <c r="AA19">
        <v>439789</v>
      </c>
      <c r="AB19">
        <v>408743</v>
      </c>
      <c r="AC19">
        <v>367633</v>
      </c>
      <c r="AD19">
        <v>490293</v>
      </c>
      <c r="AE19">
        <v>579422</v>
      </c>
    </row>
    <row r="20" spans="1:31" x14ac:dyDescent="0.3">
      <c r="A20" s="3" t="s">
        <v>19</v>
      </c>
      <c r="B20">
        <v>95139</v>
      </c>
      <c r="C20">
        <v>99692</v>
      </c>
      <c r="D20">
        <v>118182</v>
      </c>
      <c r="E20">
        <v>122655</v>
      </c>
      <c r="F20">
        <v>117211</v>
      </c>
      <c r="G20">
        <v>124124</v>
      </c>
      <c r="H20">
        <v>127597</v>
      </c>
      <c r="I20">
        <v>118658</v>
      </c>
      <c r="J20">
        <v>121605</v>
      </c>
      <c r="K20">
        <v>134700</v>
      </c>
      <c r="L20">
        <v>165185</v>
      </c>
      <c r="M20">
        <v>189296</v>
      </c>
      <c r="N20">
        <v>197363</v>
      </c>
      <c r="O20">
        <v>208767</v>
      </c>
      <c r="P20">
        <v>240524</v>
      </c>
      <c r="Q20">
        <v>263388</v>
      </c>
      <c r="R20">
        <v>244402</v>
      </c>
      <c r="S20">
        <v>238308</v>
      </c>
      <c r="T20">
        <v>245075</v>
      </c>
      <c r="U20">
        <v>216361</v>
      </c>
      <c r="V20">
        <v>226437</v>
      </c>
      <c r="W20">
        <v>229961</v>
      </c>
      <c r="X20">
        <v>199414</v>
      </c>
      <c r="Y20">
        <v>206369</v>
      </c>
      <c r="Z20">
        <v>221280</v>
      </c>
      <c r="AA20">
        <v>242423</v>
      </c>
      <c r="AB20">
        <v>240013</v>
      </c>
      <c r="AC20">
        <v>228848</v>
      </c>
      <c r="AD20">
        <v>254152</v>
      </c>
      <c r="AE20">
        <v>252130</v>
      </c>
    </row>
    <row r="21" spans="1:31" x14ac:dyDescent="0.3">
      <c r="A21" s="3" t="s">
        <v>20</v>
      </c>
      <c r="B21">
        <v>529319</v>
      </c>
      <c r="C21">
        <v>531137</v>
      </c>
      <c r="D21">
        <v>613946</v>
      </c>
      <c r="E21">
        <v>640026</v>
      </c>
      <c r="F21">
        <v>589376</v>
      </c>
      <c r="G21">
        <v>618414</v>
      </c>
      <c r="H21">
        <v>635968</v>
      </c>
      <c r="I21">
        <v>598628</v>
      </c>
      <c r="J21">
        <v>627834</v>
      </c>
      <c r="K21">
        <v>708256</v>
      </c>
      <c r="L21">
        <v>907264</v>
      </c>
      <c r="M21">
        <v>1068570</v>
      </c>
      <c r="N21">
        <v>1154354</v>
      </c>
      <c r="O21">
        <v>1260466</v>
      </c>
      <c r="P21">
        <v>1474176</v>
      </c>
      <c r="Q21">
        <v>1631685</v>
      </c>
      <c r="R21">
        <v>1489853</v>
      </c>
      <c r="S21">
        <v>1423270</v>
      </c>
      <c r="T21">
        <v>1480450</v>
      </c>
      <c r="U21">
        <v>1325590</v>
      </c>
      <c r="V21">
        <v>1355599</v>
      </c>
      <c r="W21">
        <v>1372174</v>
      </c>
      <c r="X21">
        <v>1196278</v>
      </c>
      <c r="Y21">
        <v>1233215</v>
      </c>
      <c r="Z21">
        <v>1312782</v>
      </c>
      <c r="AA21">
        <v>1422347</v>
      </c>
      <c r="AB21">
        <v>1394474</v>
      </c>
      <c r="AC21">
        <v>1277106</v>
      </c>
      <c r="AD21">
        <v>1446613</v>
      </c>
      <c r="AE21">
        <v>1418916</v>
      </c>
    </row>
    <row r="22" spans="1:31" x14ac:dyDescent="0.3">
      <c r="A22" s="3" t="s">
        <v>21</v>
      </c>
      <c r="B22">
        <v>212953</v>
      </c>
      <c r="C22">
        <v>229034</v>
      </c>
      <c r="D22">
        <v>267307</v>
      </c>
      <c r="E22">
        <v>291746</v>
      </c>
      <c r="F22">
        <v>268146</v>
      </c>
      <c r="G22">
        <v>270810</v>
      </c>
      <c r="H22">
        <v>274071</v>
      </c>
      <c r="I22">
        <v>262834</v>
      </c>
      <c r="J22">
        <v>242395</v>
      </c>
      <c r="K22">
        <v>266848</v>
      </c>
      <c r="L22">
        <v>334337</v>
      </c>
      <c r="M22">
        <v>385119</v>
      </c>
      <c r="N22">
        <v>392219</v>
      </c>
      <c r="O22">
        <v>423091</v>
      </c>
      <c r="P22">
        <v>491255</v>
      </c>
      <c r="Q22">
        <v>517706</v>
      </c>
      <c r="R22">
        <v>436536</v>
      </c>
      <c r="S22">
        <v>495813</v>
      </c>
      <c r="T22">
        <v>574094</v>
      </c>
      <c r="U22">
        <v>552484</v>
      </c>
      <c r="V22">
        <v>586842</v>
      </c>
      <c r="W22">
        <v>581964</v>
      </c>
      <c r="X22">
        <v>505104</v>
      </c>
      <c r="Y22">
        <v>515655</v>
      </c>
      <c r="Z22">
        <v>541019</v>
      </c>
      <c r="AA22">
        <v>555455</v>
      </c>
      <c r="AB22">
        <v>533880</v>
      </c>
      <c r="AC22">
        <v>547054</v>
      </c>
      <c r="AD22">
        <v>639715</v>
      </c>
      <c r="AE22">
        <v>591189</v>
      </c>
    </row>
    <row r="23" spans="1:31" x14ac:dyDescent="0.3">
      <c r="A23" s="3" t="s">
        <v>22</v>
      </c>
      <c r="B23">
        <v>272006</v>
      </c>
      <c r="C23">
        <v>301246</v>
      </c>
      <c r="D23">
        <v>353000</v>
      </c>
      <c r="E23">
        <v>340181</v>
      </c>
      <c r="F23">
        <v>294773</v>
      </c>
      <c r="G23">
        <v>303172</v>
      </c>
      <c r="H23">
        <v>297493</v>
      </c>
      <c r="I23">
        <v>279224</v>
      </c>
      <c r="J23">
        <v>286711</v>
      </c>
      <c r="K23">
        <v>309530</v>
      </c>
      <c r="L23">
        <v>362192</v>
      </c>
      <c r="M23">
        <v>403346</v>
      </c>
      <c r="N23">
        <v>418050</v>
      </c>
      <c r="O23">
        <v>441700</v>
      </c>
      <c r="P23">
        <v>490865</v>
      </c>
      <c r="Q23">
        <v>566936</v>
      </c>
      <c r="R23">
        <v>553761</v>
      </c>
      <c r="S23">
        <v>598137</v>
      </c>
      <c r="T23">
        <v>715686</v>
      </c>
      <c r="U23">
        <v>686383</v>
      </c>
      <c r="V23">
        <v>706456</v>
      </c>
      <c r="W23">
        <v>726735</v>
      </c>
      <c r="X23">
        <v>693892</v>
      </c>
      <c r="Y23">
        <v>687619</v>
      </c>
      <c r="Z23">
        <v>695361</v>
      </c>
      <c r="AA23">
        <v>725778</v>
      </c>
      <c r="AB23">
        <v>721834</v>
      </c>
      <c r="AC23">
        <v>741059</v>
      </c>
      <c r="AD23">
        <v>812383</v>
      </c>
      <c r="AE23">
        <v>818471</v>
      </c>
    </row>
    <row r="24" spans="1:31" x14ac:dyDescent="0.3">
      <c r="A24" s="3" t="s">
        <v>23</v>
      </c>
      <c r="B24">
        <v>248573</v>
      </c>
      <c r="C24">
        <v>179359</v>
      </c>
      <c r="D24">
        <v>233566</v>
      </c>
      <c r="E24">
        <v>250486</v>
      </c>
      <c r="F24">
        <v>261857</v>
      </c>
      <c r="G24">
        <v>275834</v>
      </c>
      <c r="H24">
        <v>256566</v>
      </c>
      <c r="I24">
        <v>274321</v>
      </c>
      <c r="J24">
        <v>202248</v>
      </c>
      <c r="K24">
        <v>240191</v>
      </c>
      <c r="L24">
        <v>314752</v>
      </c>
      <c r="M24">
        <v>409127</v>
      </c>
      <c r="N24">
        <v>506186</v>
      </c>
      <c r="O24">
        <v>555126</v>
      </c>
      <c r="P24">
        <v>680489</v>
      </c>
      <c r="Q24">
        <v>770820</v>
      </c>
      <c r="R24">
        <v>648797</v>
      </c>
      <c r="S24">
        <v>776558</v>
      </c>
      <c r="T24">
        <v>838508</v>
      </c>
      <c r="U24">
        <v>880141</v>
      </c>
      <c r="V24">
        <v>957504</v>
      </c>
      <c r="W24">
        <v>938512</v>
      </c>
      <c r="X24">
        <v>864071</v>
      </c>
      <c r="Y24">
        <v>869280</v>
      </c>
      <c r="Z24">
        <v>858932</v>
      </c>
      <c r="AA24">
        <v>780190</v>
      </c>
      <c r="AB24">
        <v>760520</v>
      </c>
      <c r="AC24">
        <v>720159</v>
      </c>
      <c r="AD24">
        <v>818337</v>
      </c>
      <c r="AE24">
        <v>905841</v>
      </c>
    </row>
    <row r="25" spans="1:31" x14ac:dyDescent="0.3">
      <c r="A25" s="3" t="s">
        <v>24</v>
      </c>
      <c r="B25">
        <v>1156686</v>
      </c>
      <c r="C25">
        <v>1243438</v>
      </c>
      <c r="D25">
        <v>1346449</v>
      </c>
      <c r="E25">
        <v>1423074</v>
      </c>
      <c r="F25">
        <v>1562135</v>
      </c>
      <c r="G25">
        <v>1655219</v>
      </c>
      <c r="H25">
        <v>1689707</v>
      </c>
      <c r="I25">
        <v>1669283</v>
      </c>
      <c r="J25">
        <v>1649083</v>
      </c>
      <c r="K25">
        <v>1788663</v>
      </c>
      <c r="L25">
        <v>2058485</v>
      </c>
      <c r="M25">
        <v>2424053</v>
      </c>
      <c r="N25">
        <v>2547665</v>
      </c>
      <c r="O25">
        <v>2713729</v>
      </c>
      <c r="P25">
        <v>3094006</v>
      </c>
      <c r="Q25">
        <v>2962502</v>
      </c>
      <c r="R25">
        <v>2426291</v>
      </c>
      <c r="S25">
        <v>2493844</v>
      </c>
      <c r="T25">
        <v>2667317</v>
      </c>
      <c r="U25">
        <v>2706822</v>
      </c>
      <c r="V25">
        <v>2788128</v>
      </c>
      <c r="W25">
        <v>3066819</v>
      </c>
      <c r="X25">
        <v>2935506</v>
      </c>
      <c r="Y25">
        <v>2709678</v>
      </c>
      <c r="Z25">
        <v>2685637</v>
      </c>
      <c r="AA25">
        <v>2881845</v>
      </c>
      <c r="AB25">
        <v>2858728</v>
      </c>
      <c r="AC25">
        <v>2706542</v>
      </c>
      <c r="AD25">
        <v>3123231</v>
      </c>
      <c r="AE25">
        <v>3081871</v>
      </c>
    </row>
    <row r="26" spans="1:31" x14ac:dyDescent="0.3">
      <c r="A26" s="3" t="s">
        <v>25</v>
      </c>
      <c r="B26">
        <v>6858550</v>
      </c>
      <c r="C26">
        <v>7287250</v>
      </c>
      <c r="D26">
        <v>7639750</v>
      </c>
      <c r="E26">
        <v>8073125</v>
      </c>
      <c r="F26">
        <v>8577550</v>
      </c>
      <c r="G26">
        <v>9062825</v>
      </c>
      <c r="H26">
        <v>9631175</v>
      </c>
      <c r="I26">
        <v>10250950</v>
      </c>
      <c r="J26">
        <v>10581925</v>
      </c>
      <c r="K26">
        <v>10929100</v>
      </c>
      <c r="L26">
        <v>11456450</v>
      </c>
      <c r="M26">
        <v>12217175</v>
      </c>
      <c r="N26">
        <v>13039200</v>
      </c>
      <c r="O26">
        <v>13815600</v>
      </c>
      <c r="P26">
        <v>14474250</v>
      </c>
      <c r="Q26">
        <v>14769850</v>
      </c>
      <c r="R26">
        <v>14478050</v>
      </c>
      <c r="S26">
        <v>15048975</v>
      </c>
      <c r="T26">
        <v>15599725</v>
      </c>
      <c r="U26">
        <v>16253950</v>
      </c>
      <c r="V26">
        <v>16843225</v>
      </c>
      <c r="W26">
        <v>17550675</v>
      </c>
      <c r="X26">
        <v>18206025</v>
      </c>
      <c r="Y26">
        <v>18695100</v>
      </c>
      <c r="Z26">
        <v>19477350</v>
      </c>
      <c r="AA26">
        <v>20533075</v>
      </c>
      <c r="AB26">
        <v>21380950</v>
      </c>
      <c r="AC26">
        <v>21060450</v>
      </c>
      <c r="AD26">
        <v>23315075</v>
      </c>
      <c r="AE26">
        <v>25462725</v>
      </c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Portfolio equity assets </vt:lpstr>
      <vt:lpstr>Portfolio debt assets </vt:lpstr>
      <vt:lpstr>FDI assets</vt:lpstr>
      <vt:lpstr>Portfolio equity liabilities </vt:lpstr>
      <vt:lpstr>Portfolio debt liabilities </vt:lpstr>
      <vt:lpstr>FDI liabilities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Ismail</dc:creator>
  <cp:lastModifiedBy>omar Ismail</cp:lastModifiedBy>
  <dcterms:created xsi:type="dcterms:W3CDTF">2024-07-28T09:58:18Z</dcterms:created>
  <dcterms:modified xsi:type="dcterms:W3CDTF">2024-07-28T10:42:46Z</dcterms:modified>
</cp:coreProperties>
</file>