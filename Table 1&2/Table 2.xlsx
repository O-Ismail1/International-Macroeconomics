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nomics\International macroeconomics\Term Paper\Table 1 &amp; 2\"/>
    </mc:Choice>
  </mc:AlternateContent>
  <xr:revisionPtr revIDLastSave="0" documentId="13_ncr:1_{DC384F9C-EC84-4CD9-9027-2C0EF2A1A621}" xr6:coauthVersionLast="47" xr6:coauthVersionMax="47" xr10:uidLastSave="{00000000-0000-0000-0000-000000000000}"/>
  <bookViews>
    <workbookView xWindow="-108" yWindow="-108" windowWidth="23256" windowHeight="12576" xr2:uid="{D70BBE0F-D6BB-426C-8369-A4C26B2AC29B}"/>
  </bookViews>
  <sheets>
    <sheet name="Table 2" sheetId="10" r:id="rId1"/>
    <sheet name="Portfolio equity assets " sheetId="1" r:id="rId2"/>
    <sheet name="Portfolio debt assets " sheetId="2" r:id="rId3"/>
    <sheet name="Portfolio equity liabilities " sheetId="4" r:id="rId4"/>
    <sheet name="Portfolio debt liabilities " sheetId="5" r:id="rId5"/>
    <sheet name="Market Cap" sheetId="7" r:id="rId6"/>
    <sheet name="Domestic debt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0" l="1"/>
  <c r="J6" i="10"/>
  <c r="J7" i="10"/>
  <c r="L7" i="10" s="1"/>
  <c r="J8" i="10"/>
  <c r="L8" i="10" s="1"/>
  <c r="J9" i="10"/>
  <c r="J10" i="10"/>
  <c r="J11" i="10"/>
  <c r="L11" i="10" s="1"/>
  <c r="J12" i="10"/>
  <c r="L12" i="10" s="1"/>
  <c r="J13" i="10"/>
  <c r="J14" i="10"/>
  <c r="J15" i="10"/>
  <c r="L15" i="10" s="1"/>
  <c r="J16" i="10"/>
  <c r="L16" i="10" s="1"/>
  <c r="J17" i="10"/>
  <c r="J18" i="10"/>
  <c r="J19" i="10"/>
  <c r="L19" i="10" s="1"/>
  <c r="J20" i="10"/>
  <c r="L20" i="10" s="1"/>
  <c r="J21" i="10"/>
  <c r="J22" i="10"/>
  <c r="J23" i="10"/>
  <c r="L23" i="10" s="1"/>
  <c r="J24" i="10"/>
  <c r="L24" i="10" s="1"/>
  <c r="J25" i="10"/>
  <c r="J26" i="10"/>
  <c r="J27" i="10"/>
  <c r="J4" i="10"/>
  <c r="L4" i="10" s="1"/>
  <c r="I5" i="10"/>
  <c r="I6" i="10"/>
  <c r="I7" i="10"/>
  <c r="K7" i="10" s="1"/>
  <c r="I8" i="10"/>
  <c r="K8" i="10" s="1"/>
  <c r="I9" i="10"/>
  <c r="I10" i="10"/>
  <c r="I11" i="10"/>
  <c r="I12" i="10"/>
  <c r="K12" i="10" s="1"/>
  <c r="I13" i="10"/>
  <c r="I14" i="10"/>
  <c r="I15" i="10"/>
  <c r="K15" i="10" s="1"/>
  <c r="I16" i="10"/>
  <c r="K16" i="10" s="1"/>
  <c r="I17" i="10"/>
  <c r="I18" i="10"/>
  <c r="I19" i="10"/>
  <c r="K19" i="10" s="1"/>
  <c r="I20" i="10"/>
  <c r="K20" i="10" s="1"/>
  <c r="I21" i="10"/>
  <c r="I22" i="10"/>
  <c r="I23" i="10"/>
  <c r="K23" i="10" s="1"/>
  <c r="I24" i="10"/>
  <c r="K24" i="10" s="1"/>
  <c r="I25" i="10"/>
  <c r="I26" i="10"/>
  <c r="I27" i="10"/>
  <c r="K27" i="10" s="1"/>
  <c r="I4" i="10"/>
  <c r="I29" i="10" s="1"/>
  <c r="E26" i="10"/>
  <c r="D26" i="10"/>
  <c r="E4" i="10"/>
  <c r="H4" i="10" s="1"/>
  <c r="E5" i="10"/>
  <c r="H5" i="10" s="1"/>
  <c r="E7" i="10"/>
  <c r="E11" i="10"/>
  <c r="E12" i="10"/>
  <c r="H12" i="10" s="1"/>
  <c r="E16" i="10"/>
  <c r="H16" i="10" s="1"/>
  <c r="E17" i="10"/>
  <c r="E19" i="10"/>
  <c r="E22" i="10"/>
  <c r="H22" i="10" s="1"/>
  <c r="E24" i="10"/>
  <c r="E25" i="10"/>
  <c r="E27" i="10"/>
  <c r="H7" i="10"/>
  <c r="H11" i="10"/>
  <c r="H19" i="10"/>
  <c r="H24" i="10"/>
  <c r="H26" i="10"/>
  <c r="D4" i="10"/>
  <c r="D5" i="10"/>
  <c r="G5" i="10" s="1"/>
  <c r="D6" i="10"/>
  <c r="G6" i="10" s="1"/>
  <c r="D7" i="10"/>
  <c r="G7" i="10" s="1"/>
  <c r="D8" i="10"/>
  <c r="G8" i="10" s="1"/>
  <c r="D9" i="10"/>
  <c r="D10" i="10"/>
  <c r="G10" i="10" s="1"/>
  <c r="D11" i="10"/>
  <c r="G11" i="10" s="1"/>
  <c r="D12" i="10"/>
  <c r="G12" i="10" s="1"/>
  <c r="D15" i="10"/>
  <c r="G15" i="10" s="1"/>
  <c r="D16" i="10"/>
  <c r="G16" i="10" s="1"/>
  <c r="D17" i="10"/>
  <c r="D18" i="10"/>
  <c r="G18" i="10" s="1"/>
  <c r="D19" i="10"/>
  <c r="G19" i="10" s="1"/>
  <c r="D20" i="10"/>
  <c r="G20" i="10" s="1"/>
  <c r="D21" i="10"/>
  <c r="D22" i="10"/>
  <c r="D23" i="10"/>
  <c r="G23" i="10" s="1"/>
  <c r="D24" i="10"/>
  <c r="G24" i="10" s="1"/>
  <c r="D25" i="10"/>
  <c r="G25" i="10" s="1"/>
  <c r="D27" i="10"/>
  <c r="G27" i="10" s="1"/>
  <c r="C4" i="10"/>
  <c r="F4" i="10" s="1"/>
  <c r="C5" i="10"/>
  <c r="F5" i="10" s="1"/>
  <c r="C6" i="10"/>
  <c r="F6" i="10" s="1"/>
  <c r="C7" i="10"/>
  <c r="C8" i="10"/>
  <c r="F8" i="10" s="1"/>
  <c r="C9" i="10"/>
  <c r="F9" i="10" s="1"/>
  <c r="C10" i="10"/>
  <c r="C11" i="10"/>
  <c r="C15" i="10"/>
  <c r="F15" i="10" s="1"/>
  <c r="C16" i="10"/>
  <c r="F16" i="10" s="1"/>
  <c r="C17" i="10"/>
  <c r="F17" i="10" s="1"/>
  <c r="C18" i="10"/>
  <c r="C19" i="10"/>
  <c r="F19" i="10" s="1"/>
  <c r="C20" i="10"/>
  <c r="F20" i="10" s="1"/>
  <c r="C22" i="10"/>
  <c r="F22" i="10" s="1"/>
  <c r="C23" i="10"/>
  <c r="C24" i="10"/>
  <c r="F24" i="10" s="1"/>
  <c r="C25" i="10"/>
  <c r="F25" i="10" s="1"/>
  <c r="C26" i="10"/>
  <c r="F26" i="10" s="1"/>
  <c r="C27" i="10"/>
  <c r="B29" i="7"/>
  <c r="L27" i="10"/>
  <c r="F27" i="10"/>
  <c r="H27" i="10"/>
  <c r="L26" i="10"/>
  <c r="K26" i="10"/>
  <c r="G26" i="10"/>
  <c r="L25" i="10"/>
  <c r="K25" i="10"/>
  <c r="H25" i="10"/>
  <c r="F23" i="10"/>
  <c r="L22" i="10"/>
  <c r="K22" i="10"/>
  <c r="G22" i="10"/>
  <c r="L21" i="10"/>
  <c r="K21" i="10"/>
  <c r="G21" i="10"/>
  <c r="L18" i="10"/>
  <c r="K18" i="10"/>
  <c r="F18" i="10"/>
  <c r="L17" i="10"/>
  <c r="K17" i="10"/>
  <c r="H17" i="10"/>
  <c r="G17" i="10"/>
  <c r="L14" i="10"/>
  <c r="K14" i="10"/>
  <c r="L13" i="10"/>
  <c r="K13" i="10"/>
  <c r="K11" i="10"/>
  <c r="F11" i="10"/>
  <c r="L10" i="10"/>
  <c r="K10" i="10"/>
  <c r="F10" i="10"/>
  <c r="L9" i="10"/>
  <c r="K9" i="10"/>
  <c r="F7" i="10"/>
  <c r="L6" i="10"/>
  <c r="K6" i="10"/>
  <c r="L5" i="10"/>
  <c r="K5" i="10"/>
  <c r="K4" i="10" l="1"/>
  <c r="D29" i="10"/>
  <c r="J29" i="10"/>
  <c r="G4" i="10"/>
  <c r="G29" i="10" s="1"/>
  <c r="E29" i="10"/>
  <c r="F29" i="10"/>
  <c r="H29" i="10"/>
  <c r="L29" i="10"/>
  <c r="K29" i="10"/>
  <c r="C29" i="10"/>
</calcChain>
</file>

<file path=xl/sharedStrings.xml><?xml version="1.0" encoding="utf-8"?>
<sst xmlns="http://schemas.openxmlformats.org/spreadsheetml/2006/main" count="368" uniqueCount="40">
  <si>
    <t>Country</t>
  </si>
  <si>
    <t>Year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</si>
  <si>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</si>
  <si>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</si>
  <si>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</si>
  <si>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</si>
  <si>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</si>
  <si>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</si>
  <si>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</si>
  <si>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</si>
  <si>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</si>
  <si>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</si>
  <si>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</si>
  <si>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</si>
  <si>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Japan</t>
  </si>
  <si>
    <t>Mexico</t>
  </si>
  <si>
    <t>Netherlands</t>
  </si>
  <si>
    <t>New Zealand</t>
  </si>
  <si>
    <t>Norway</t>
  </si>
  <si>
    <t>Portugal</t>
  </si>
  <si>
    <t>Spain</t>
  </si>
  <si>
    <t>Sweden</t>
  </si>
  <si>
    <t>Switzerland</t>
  </si>
  <si>
    <t>Turkey</t>
  </si>
  <si>
    <t>United Kingdom</t>
  </si>
  <si>
    <t>United States</t>
  </si>
  <si>
    <t xml:space="preserve">Portfolio equity assets  </t>
  </si>
  <si>
    <t xml:space="preserve">Portfolio debt assets  </t>
  </si>
  <si>
    <t xml:space="preserve">Portfolio equity liabilities </t>
  </si>
  <si>
    <t>Portfolio debt liabilities</t>
  </si>
  <si>
    <t>..</t>
  </si>
  <si>
    <t>Domestic Debt</t>
  </si>
  <si>
    <t>Countries</t>
  </si>
  <si>
    <t>Foreign Equity in Portfolio %</t>
  </si>
  <si>
    <t>Equity Home bias</t>
  </si>
  <si>
    <t>Foreign debt in Portfolio %</t>
  </si>
  <si>
    <t>Debt Home bias</t>
  </si>
  <si>
    <t>--</t>
  </si>
  <si>
    <t>---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</si>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</sst>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3" fontId="0" fillId="0" borderId="0" xfId="0" applyNumberFormat="1"/>
    <xf numFmtId="2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2" fontId="0" fillId="0" borderId="0" xfId="0" applyNumberFormat="1"/>
    <xf numFmtId="2" fontId="3" fillId="4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2" fontId="4" fillId="3" borderId="0" xfId="1" applyNumberFormat="1" applyFont="1" applyFill="1" applyBorder="1" applyAlignment="1">
      <alignment horizontal="center" vertical="center" wrapText="1"/>
    </xf>
    <xf numFmtId="1" fontId="3" fillId="4" borderId="2" xfId="1" applyNumberFormat="1" applyFont="1" applyFill="1" applyBorder="1" applyAlignment="1">
      <alignment horizontal="center" vertical="center" wrapText="1"/>
    </xf>
    <xf numFmtId="1" fontId="3" fillId="4" borderId="1" xfId="1" applyNumberFormat="1" applyFont="1" applyFill="1" applyBorder="1" applyAlignment="1">
      <alignment horizontal="center" vertical="center" wrapText="1"/>
    </xf>
    <xf numFmtId="1" fontId="3" fillId="4" borderId="4" xfId="1" applyNumberFormat="1" applyFont="1" applyFill="1" applyBorder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/>
    </xf>
    <xf numFmtId="2" fontId="0" fillId="4" borderId="0" xfId="0" quotePrefix="1" applyNumberFormat="1" applyFill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2" fontId="0" fillId="4" borderId="6" xfId="0" quotePrefix="1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2" fontId="3" fillId="4" borderId="8" xfId="1" applyNumberFormat="1" applyFont="1" applyFill="1" applyBorder="1" applyAlignment="1">
      <alignment horizontal="center" vertical="center" wrapText="1"/>
    </xf>
    <xf numFmtId="2" fontId="0" fillId="4" borderId="3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 wrapText="1"/>
    </xf>
    <xf numFmtId="2" fontId="3" fillId="4" borderId="2" xfId="1" applyNumberFormat="1" applyFont="1" applyFill="1" applyBorder="1" applyAlignment="1">
      <alignment horizontal="center" vertical="center" wrapText="1"/>
    </xf>
    <xf numFmtId="2" fontId="3" fillId="4" borderId="3" xfId="1" applyNumberFormat="1" applyFont="1" applyFill="1" applyBorder="1" applyAlignment="1">
      <alignment horizontal="center" vertical="center" wrapText="1"/>
    </xf>
    <xf numFmtId="2" fontId="3" fillId="4" borderId="4" xfId="1" applyNumberFormat="1" applyFont="1" applyFill="1" applyBorder="1" applyAlignment="1">
      <alignment horizontal="center" vertical="center" wrapText="1"/>
    </xf>
    <xf numFmtId="2" fontId="3" fillId="4" borderId="2" xfId="1" applyNumberFormat="1" applyFont="1" applyFill="1" applyBorder="1" applyAlignment="1">
      <alignment horizontal="center" vertical="center"/>
    </xf>
    <xf numFmtId="2" fontId="3" fillId="4" borderId="3" xfId="1" applyNumberFormat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556C-21B4-4707-AD84-145E1CF59642}">
  <dimension ref="A1:L29"/>
  <sheetViews>
    <sheetView tabSelected="1" workbookViewId="0">
      <selection activeCell="Q15" sqref="Q15"/>
    </sheetView>
  </sheetViews>
  <sheetFormatPr defaultRowHeight="14.4" x14ac:dyDescent="0.3"/>
  <cols>
    <col min="2" max="2" width="15" bestFit="1" customWidth="1"/>
    <col min="3" max="3" width="9.109375" customWidth="1"/>
  </cols>
  <sheetData>
    <row r="1" spans="1:12" ht="15" thickBot="1" x14ac:dyDescent="0.35"/>
    <row r="2" spans="1:12" ht="15" thickBot="1" x14ac:dyDescent="0.35">
      <c r="A2" s="18"/>
      <c r="B2" s="6" t="s">
        <v>32</v>
      </c>
      <c r="C2" s="26" t="s">
        <v>33</v>
      </c>
      <c r="D2" s="27"/>
      <c r="E2" s="28"/>
      <c r="F2" s="29" t="s">
        <v>34</v>
      </c>
      <c r="G2" s="30"/>
      <c r="H2" s="31"/>
      <c r="I2" s="27" t="s">
        <v>35</v>
      </c>
      <c r="J2" s="28"/>
      <c r="K2" s="26" t="s">
        <v>36</v>
      </c>
      <c r="L2" s="28"/>
    </row>
    <row r="3" spans="1:12" ht="15" thickBot="1" x14ac:dyDescent="0.35">
      <c r="A3" s="18"/>
      <c r="B3" s="8"/>
      <c r="C3" s="9">
        <v>1993</v>
      </c>
      <c r="D3" s="10">
        <v>2003</v>
      </c>
      <c r="E3" s="11">
        <v>2022</v>
      </c>
      <c r="F3" s="10">
        <v>1993</v>
      </c>
      <c r="G3" s="10">
        <v>2003</v>
      </c>
      <c r="H3" s="11">
        <v>2022</v>
      </c>
      <c r="I3" s="10">
        <v>1993</v>
      </c>
      <c r="J3" s="10">
        <v>2003</v>
      </c>
      <c r="K3" s="9">
        <v>1993</v>
      </c>
      <c r="L3" s="11">
        <v>2003</v>
      </c>
    </row>
    <row r="4" spans="1:12" x14ac:dyDescent="0.3">
      <c r="A4" s="18"/>
      <c r="B4" s="19" t="s">
        <v>2</v>
      </c>
      <c r="C4" s="12">
        <f>('Portfolio equity assets '!B3)/('Portfolio equity assets '!B3+('Market Cap'!B3/1000000)-'Portfolio equity liabilities '!B3)*100</f>
        <v>11.325419279413017</v>
      </c>
      <c r="D4" s="12">
        <f>('Portfolio equity assets '!L3)/('Portfolio equity assets '!L3+('Market Cap'!L3/1000000)-'Portfolio equity liabilities '!L3)*100</f>
        <v>17.227787728550258</v>
      </c>
      <c r="E4" s="14">
        <f>('Portfolio equity assets '!AE3)/('Portfolio equity assets '!AE3+('Market Cap'!AE3/1000000)-'Portfolio equity liabilities '!AE3)*100</f>
        <v>39.439376732920181</v>
      </c>
      <c r="F4" s="12">
        <f t="shared" ref="F4:H11" si="0">(100-C4)/100</f>
        <v>0.88674580720586993</v>
      </c>
      <c r="G4" s="12">
        <f t="shared" si="0"/>
        <v>0.82772212271449741</v>
      </c>
      <c r="H4" s="14">
        <f t="shared" si="0"/>
        <v>0.60560623267079816</v>
      </c>
      <c r="I4" s="12">
        <f>('Portfolio debt assets '!B3)/(('Portfolio debt assets '!B3+('Domestic debt'!B3*1000)))*100</f>
        <v>15.322858065233152</v>
      </c>
      <c r="J4" s="14">
        <f>('Portfolio debt assets '!L3)/(('Portfolio debt assets '!L3+('Domestic debt'!L3*1000)))*100</f>
        <v>21.710531675959349</v>
      </c>
      <c r="K4" s="12">
        <f>(100-I4)/100</f>
        <v>0.84677141934766853</v>
      </c>
      <c r="L4" s="15">
        <f>(100-J4)/100</f>
        <v>0.78289468324040656</v>
      </c>
    </row>
    <row r="5" spans="1:12" x14ac:dyDescent="0.3">
      <c r="A5" s="18"/>
      <c r="B5" s="20" t="s">
        <v>3</v>
      </c>
      <c r="C5" s="12">
        <f>('Portfolio equity assets '!B4)/('Portfolio equity assets '!B4+('Market Cap'!B4/1000000)-'Portfolio equity liabilities '!B4)*100</f>
        <v>14.115748273029361</v>
      </c>
      <c r="D5" s="12">
        <f>('Portfolio equity assets '!L4)/('Portfolio equity assets '!L4+('Market Cap'!L4/1000000)-'Portfolio equity liabilities '!L4)*100</f>
        <v>59.499866733721305</v>
      </c>
      <c r="E5" s="15">
        <f>('Portfolio equity assets '!AE4)/('Portfolio equity assets '!AE4+('Market Cap'!AE4/1000000)-'Portfolio equity liabilities '!AE4)*100</f>
        <v>76.521172723068574</v>
      </c>
      <c r="F5" s="12">
        <f t="shared" si="0"/>
        <v>0.85884251726970628</v>
      </c>
      <c r="G5" s="12">
        <f t="shared" si="0"/>
        <v>0.40500133266278693</v>
      </c>
      <c r="H5" s="15">
        <f t="shared" si="0"/>
        <v>0.23478827276931427</v>
      </c>
      <c r="I5" s="12">
        <f>('Portfolio debt assets '!B4)/(('Portfolio debt assets '!B4+('Domestic debt'!B4*1000)))*100</f>
        <v>47.23897463028031</v>
      </c>
      <c r="J5" s="15">
        <f>('Portfolio debt assets '!L4)/(('Portfolio debt assets '!L4+('Domestic debt'!L4*1000)))*100</f>
        <v>61.677179981637231</v>
      </c>
      <c r="K5" s="12">
        <f t="shared" ref="K5:L27" si="1">(100-I5)/100</f>
        <v>0.52761025369719694</v>
      </c>
      <c r="L5" s="15">
        <f t="shared" si="1"/>
        <v>0.38322820018362769</v>
      </c>
    </row>
    <row r="6" spans="1:12" x14ac:dyDescent="0.3">
      <c r="A6" s="18"/>
      <c r="B6" s="20" t="s">
        <v>4</v>
      </c>
      <c r="C6" s="12">
        <f>('Portfolio equity assets '!B5)/('Portfolio equity assets '!B5+('Market Cap'!B5/1000000)-'Portfolio equity liabilities '!B5)*100</f>
        <v>45.968588973453919</v>
      </c>
      <c r="D6" s="12">
        <f>('Portfolio equity assets '!L5)/('Portfolio equity assets '!L5+('Market Cap'!L5/1000000)-'Portfolio equity liabilities '!L5)*100</f>
        <v>50.166780274451781</v>
      </c>
      <c r="E6" s="16" t="s">
        <v>37</v>
      </c>
      <c r="F6" s="12">
        <f t="shared" si="0"/>
        <v>0.54031411026546083</v>
      </c>
      <c r="G6" s="12">
        <f t="shared" si="0"/>
        <v>0.49833219725548217</v>
      </c>
      <c r="H6" s="16" t="s">
        <v>37</v>
      </c>
      <c r="I6" s="12">
        <f>('Portfolio debt assets '!B5)/(('Portfolio debt assets '!B5+('Domestic debt'!B5*1000)))*100</f>
        <v>51.112667525703081</v>
      </c>
      <c r="J6" s="15">
        <f>('Portfolio debt assets '!L5)/(('Portfolio debt assets '!L5+('Domestic debt'!L5*1000)))*100</f>
        <v>66.937012535914391</v>
      </c>
      <c r="K6" s="12">
        <f t="shared" si="1"/>
        <v>0.48887332474296918</v>
      </c>
      <c r="L6" s="15">
        <f t="shared" si="1"/>
        <v>0.33062987464085608</v>
      </c>
    </row>
    <row r="7" spans="1:12" x14ac:dyDescent="0.3">
      <c r="A7" s="18"/>
      <c r="B7" s="20" t="s">
        <v>5</v>
      </c>
      <c r="C7" s="12">
        <f>('Portfolio equity assets '!B6)/('Portfolio equity assets '!B6+('Market Cap'!B6/1000000)-'Portfolio equity liabilities '!B6)*100</f>
        <v>11.16461350681055</v>
      </c>
      <c r="D7" s="12">
        <f>('Portfolio equity assets '!L6)/('Portfolio equity assets '!L6+('Market Cap'!L6/1000000)-'Portfolio equity liabilities '!L6)*100</f>
        <v>27.214908315664992</v>
      </c>
      <c r="E7" s="15">
        <f>('Portfolio equity assets '!AE6)/('Portfolio equity assets '!AE6+('Market Cap'!AE6/1000000)-'Portfolio equity liabilities '!AE6)*100</f>
        <v>43.507580107179002</v>
      </c>
      <c r="F7" s="12">
        <f t="shared" si="0"/>
        <v>0.8883538649318945</v>
      </c>
      <c r="G7" s="12">
        <f t="shared" si="0"/>
        <v>0.72785091684335013</v>
      </c>
      <c r="H7" s="15">
        <f>(100-E7)/100</f>
        <v>0.56492419892821</v>
      </c>
      <c r="I7" s="12">
        <f>('Portfolio debt assets '!B6)/(('Portfolio debt assets '!B6+('Domestic debt'!B6*1000)))*100</f>
        <v>15.660429946674206</v>
      </c>
      <c r="J7" s="15">
        <f>('Portfolio debt assets '!L6)/(('Portfolio debt assets '!L6+('Domestic debt'!L6*1000)))*100</f>
        <v>19.246233341988962</v>
      </c>
      <c r="K7" s="12">
        <f t="shared" si="1"/>
        <v>0.84339570053325785</v>
      </c>
      <c r="L7" s="15">
        <f t="shared" si="1"/>
        <v>0.8075376665801105</v>
      </c>
    </row>
    <row r="8" spans="1:12" x14ac:dyDescent="0.3">
      <c r="A8" s="18"/>
      <c r="B8" s="20" t="s">
        <v>6</v>
      </c>
      <c r="C8" s="12">
        <f>('Portfolio equity assets '!B7)/('Portfolio equity assets '!B7+('Market Cap'!B7/1000000)-'Portfolio equity liabilities '!B7)*100</f>
        <v>17.854256668433298</v>
      </c>
      <c r="D8" s="12">
        <f>('Portfolio equity assets '!L7)/('Portfolio equity assets '!L7+('Market Cap'!L7/1000000)-'Portfolio equity liabilities '!L7)*100</f>
        <v>36.573674590376811</v>
      </c>
      <c r="E8" s="16" t="s">
        <v>37</v>
      </c>
      <c r="F8" s="12">
        <f t="shared" si="0"/>
        <v>0.82145743331566701</v>
      </c>
      <c r="G8" s="12">
        <f t="shared" si="0"/>
        <v>0.63426325409623185</v>
      </c>
      <c r="H8" s="16" t="s">
        <v>37</v>
      </c>
      <c r="I8" s="12">
        <f>('Portfolio debt assets '!B7)/(('Portfolio debt assets '!B7+('Domestic debt'!B7*1000)))*100</f>
        <v>25.192205397002176</v>
      </c>
      <c r="J8" s="15">
        <f>('Portfolio debt assets '!L7)/(('Portfolio debt assets '!L7+('Domestic debt'!L7*1000)))*100</f>
        <v>29.274940798843279</v>
      </c>
      <c r="K8" s="12">
        <f t="shared" si="1"/>
        <v>0.74807794602997835</v>
      </c>
      <c r="L8" s="15">
        <f t="shared" si="1"/>
        <v>0.70725059201156726</v>
      </c>
    </row>
    <row r="9" spans="1:12" x14ac:dyDescent="0.3">
      <c r="A9" s="18"/>
      <c r="B9" s="20" t="s">
        <v>7</v>
      </c>
      <c r="C9" s="12">
        <f>('Portfolio equity assets '!B8)/('Portfolio equity assets '!B8+('Market Cap'!B8/1000000)-'Portfolio equity liabilities '!B8)*100</f>
        <v>1.65881903932722</v>
      </c>
      <c r="D9" s="12">
        <f>('Portfolio equity assets '!L8)/('Portfolio equity assets '!L8+('Market Cap'!L8/1000000)-'Portfolio equity liabilities '!L8)*100</f>
        <v>-74.441854200930777</v>
      </c>
      <c r="E9" s="16" t="s">
        <v>37</v>
      </c>
      <c r="F9" s="12">
        <f t="shared" si="0"/>
        <v>0.98341180960672769</v>
      </c>
      <c r="G9" s="13" t="s">
        <v>37</v>
      </c>
      <c r="H9" s="16" t="s">
        <v>37</v>
      </c>
      <c r="I9" s="12">
        <f>('Portfolio debt assets '!B8)/(('Portfolio debt assets '!B8+('Domestic debt'!B8*1000)))*100</f>
        <v>29.323103153759249</v>
      </c>
      <c r="J9" s="15">
        <f>('Portfolio debt assets '!L8)/(('Portfolio debt assets '!L8+('Domestic debt'!L8*1000)))*100</f>
        <v>66.827650496995574</v>
      </c>
      <c r="K9" s="12">
        <f t="shared" si="1"/>
        <v>0.70676896846240755</v>
      </c>
      <c r="L9" s="15">
        <f t="shared" si="1"/>
        <v>0.33172349503004428</v>
      </c>
    </row>
    <row r="10" spans="1:12" x14ac:dyDescent="0.3">
      <c r="A10" s="18"/>
      <c r="B10" s="20" t="s">
        <v>8</v>
      </c>
      <c r="C10" s="12">
        <f>('Portfolio equity assets '!B9)/('Portfolio equity assets '!B9+('Market Cap'!B9/1000000)-'Portfolio equity liabilities '!B9)*100</f>
        <v>12.858276459130046</v>
      </c>
      <c r="D10" s="12">
        <f>('Portfolio equity assets '!L9)/('Portfolio equity assets '!L9+('Market Cap'!L9/1000000)-'Portfolio equity liabilities '!L9)*100</f>
        <v>28.229525499236765</v>
      </c>
      <c r="E10" s="16" t="s">
        <v>37</v>
      </c>
      <c r="F10" s="12">
        <f t="shared" si="0"/>
        <v>0.87141723540869942</v>
      </c>
      <c r="G10" s="12">
        <f t="shared" si="0"/>
        <v>0.71770474500763237</v>
      </c>
      <c r="H10" s="16" t="s">
        <v>37</v>
      </c>
      <c r="I10" s="12">
        <f>('Portfolio debt assets '!B9)/(('Portfolio debt assets '!B9+('Domestic debt'!B9*1000)))*100</f>
        <v>39.23245627729208</v>
      </c>
      <c r="J10" s="15">
        <f>('Portfolio debt assets '!L9)/(('Portfolio debt assets '!L9+('Domestic debt'!L9*1000)))*100</f>
        <v>51.973597957231213</v>
      </c>
      <c r="K10" s="12">
        <f t="shared" si="1"/>
        <v>0.60767543722707917</v>
      </c>
      <c r="L10" s="15">
        <f t="shared" si="1"/>
        <v>0.48026402042768784</v>
      </c>
    </row>
    <row r="11" spans="1:12" x14ac:dyDescent="0.3">
      <c r="A11" s="18"/>
      <c r="B11" s="20" t="s">
        <v>9</v>
      </c>
      <c r="C11" s="12">
        <f>('Portfolio equity assets '!B10)/('Portfolio equity assets '!B10+('Market Cap'!B10/1000000)-'Portfolio equity liabilities '!B10)*100</f>
        <v>24.866331967235634</v>
      </c>
      <c r="D11" s="12">
        <f>('Portfolio equity assets '!L10)/('Portfolio equity assets '!L10+('Market Cap'!L10/1000000)-'Portfolio equity liabilities '!L10)*100</f>
        <v>44.572406577200105</v>
      </c>
      <c r="E11" s="15">
        <f>('Portfolio equity assets '!AE10)/('Portfolio equity assets '!AE10+('Market Cap'!AE10/1000000)-'Portfolio equity liabilities '!AE10)*100</f>
        <v>69.307702976848361</v>
      </c>
      <c r="F11" s="12">
        <f t="shared" si="0"/>
        <v>0.75133668032764367</v>
      </c>
      <c r="G11" s="12">
        <f t="shared" si="0"/>
        <v>0.55427593422799892</v>
      </c>
      <c r="H11" s="15">
        <f>(100-E11)/100</f>
        <v>0.30692297023151638</v>
      </c>
      <c r="I11" s="12">
        <f>('Portfolio debt assets '!B10)/(('Portfolio debt assets '!B10+('Domestic debt'!B10*1000)))*100</f>
        <v>40.569590587020784</v>
      </c>
      <c r="J11" s="15">
        <f>('Portfolio debt assets '!L10)/(('Portfolio debt assets '!L10+('Domestic debt'!L10*1000)))*100</f>
        <v>56.054359787655684</v>
      </c>
      <c r="K11" s="12">
        <f t="shared" si="1"/>
        <v>0.59430409412979213</v>
      </c>
      <c r="L11" s="15">
        <f t="shared" si="1"/>
        <v>0.43945640212344317</v>
      </c>
    </row>
    <row r="12" spans="1:12" x14ac:dyDescent="0.3">
      <c r="A12" s="18"/>
      <c r="B12" s="20" t="s">
        <v>10</v>
      </c>
      <c r="C12" s="13" t="s">
        <v>37</v>
      </c>
      <c r="D12" s="12">
        <f>('Portfolio equity assets '!L11)/('Portfolio equity assets '!L11+('Market Cap'!L11/1000000)-'Portfolio equity liabilities '!L11)*100</f>
        <v>4.6226052530276256</v>
      </c>
      <c r="E12" s="15">
        <f>('Portfolio equity assets '!AE11)/('Portfolio equity assets '!AE11+('Market Cap'!AE11/1000000)-'Portfolio equity liabilities '!AE11)*100</f>
        <v>26.915608031361792</v>
      </c>
      <c r="F12" s="13" t="s">
        <v>37</v>
      </c>
      <c r="G12" s="12">
        <f>(100-D12)/100</f>
        <v>0.95377394746972366</v>
      </c>
      <c r="H12" s="15">
        <f>(100-E12)/100</f>
        <v>0.73084391968638218</v>
      </c>
      <c r="I12" s="12">
        <f>('Portfolio debt assets '!B11)/(('Portfolio debt assets '!B11+('Domestic debt'!B11*1000)))*100</f>
        <v>23.868398614830177</v>
      </c>
      <c r="J12" s="15">
        <f>('Portfolio debt assets '!L11)/(('Portfolio debt assets '!L11+('Domestic debt'!L11*1000)))*100</f>
        <v>41.015365335833195</v>
      </c>
      <c r="K12" s="12">
        <f t="shared" si="1"/>
        <v>0.76131601385169834</v>
      </c>
      <c r="L12" s="15">
        <f t="shared" si="1"/>
        <v>0.58984634664166802</v>
      </c>
    </row>
    <row r="13" spans="1:12" x14ac:dyDescent="0.3">
      <c r="A13" s="18"/>
      <c r="B13" s="20" t="s">
        <v>11</v>
      </c>
      <c r="C13" s="13" t="s">
        <v>37</v>
      </c>
      <c r="D13" s="13" t="s">
        <v>37</v>
      </c>
      <c r="E13" s="16" t="s">
        <v>37</v>
      </c>
      <c r="F13" s="13" t="s">
        <v>37</v>
      </c>
      <c r="G13" s="13" t="s">
        <v>37</v>
      </c>
      <c r="H13" s="16" t="s">
        <v>37</v>
      </c>
      <c r="I13" s="12">
        <f>('Portfolio debt assets '!B12)/(('Portfolio debt assets '!B12+('Domestic debt'!B12*1000)))*100</f>
        <v>8.4090168564505312</v>
      </c>
      <c r="J13" s="15">
        <f>('Portfolio debt assets '!L12)/(('Portfolio debt assets '!L12+('Domestic debt'!L12*1000)))*100</f>
        <v>20.900356796135945</v>
      </c>
      <c r="K13" s="12">
        <f t="shared" si="1"/>
        <v>0.91590983143549465</v>
      </c>
      <c r="L13" s="15">
        <f t="shared" si="1"/>
        <v>0.79099643203864045</v>
      </c>
    </row>
    <row r="14" spans="1:12" x14ac:dyDescent="0.3">
      <c r="A14" s="18"/>
      <c r="B14" s="20" t="s">
        <v>12</v>
      </c>
      <c r="C14" s="13" t="s">
        <v>37</v>
      </c>
      <c r="D14" s="13" t="s">
        <v>37</v>
      </c>
      <c r="E14" s="16" t="s">
        <v>37</v>
      </c>
      <c r="F14" s="13" t="s">
        <v>37</v>
      </c>
      <c r="G14" s="13" t="s">
        <v>37</v>
      </c>
      <c r="H14" s="16" t="s">
        <v>37</v>
      </c>
      <c r="I14" s="12">
        <f>('Portfolio debt assets '!B13)/(('Portfolio debt assets '!B13+('Domestic debt'!B13*1000)))*100</f>
        <v>63.487979116573193</v>
      </c>
      <c r="J14" s="15">
        <f>('Portfolio debt assets '!L13)/(('Portfolio debt assets '!L13+('Domestic debt'!L13*1000)))*100</f>
        <v>90.019032397561901</v>
      </c>
      <c r="K14" s="12">
        <f t="shared" si="1"/>
        <v>0.36512020883426805</v>
      </c>
      <c r="L14" s="15">
        <f t="shared" si="1"/>
        <v>9.9809676024380997E-2</v>
      </c>
    </row>
    <row r="15" spans="1:12" x14ac:dyDescent="0.3">
      <c r="A15" s="18"/>
      <c r="B15" s="20" t="s">
        <v>13</v>
      </c>
      <c r="C15" s="12">
        <f>('Portfolio equity assets '!B14)/('Portfolio equity assets '!B14+('Market Cap'!B14/1000000)-'Portfolio equity liabilities '!B14)*100</f>
        <v>22.066123064708528</v>
      </c>
      <c r="D15" s="12">
        <f>('Portfolio equity assets '!L14)/('Portfolio equity assets '!L14+('Market Cap'!L14/1000000)-'Portfolio equity liabilities '!L14)*100</f>
        <v>45.702407474172027</v>
      </c>
      <c r="E15" s="16" t="s">
        <v>37</v>
      </c>
      <c r="F15" s="12">
        <f t="shared" ref="F15:H27" si="2">(100-C15)/100</f>
        <v>0.77933876935291468</v>
      </c>
      <c r="G15" s="12">
        <f t="shared" si="2"/>
        <v>0.54297592525827976</v>
      </c>
      <c r="H15" s="16" t="s">
        <v>37</v>
      </c>
      <c r="I15" s="12">
        <f>('Portfolio debt assets '!B14)/(('Portfolio debt assets '!B14+('Domestic debt'!B14*1000)))*100</f>
        <v>20.500943809244003</v>
      </c>
      <c r="J15" s="15">
        <f>('Portfolio debt assets '!L14)/(('Portfolio debt assets '!L14+('Domestic debt'!L14*1000)))*100</f>
        <v>32.048578302745653</v>
      </c>
      <c r="K15" s="12">
        <f t="shared" si="1"/>
        <v>0.7949905619075599</v>
      </c>
      <c r="L15" s="15">
        <f t="shared" si="1"/>
        <v>0.67951421697254344</v>
      </c>
    </row>
    <row r="16" spans="1:12" x14ac:dyDescent="0.3">
      <c r="A16" s="18"/>
      <c r="B16" s="20" t="s">
        <v>14</v>
      </c>
      <c r="C16" s="12">
        <f>('Portfolio equity assets '!B15)/('Portfolio equity assets '!B15+('Market Cap'!B15/1000000)-'Portfolio equity liabilities '!B15)*100</f>
        <v>3.8196195583480281</v>
      </c>
      <c r="D16" s="12">
        <f>('Portfolio equity assets '!L15)/('Portfolio equity assets '!L15+('Market Cap'!L15/1000000)-'Portfolio equity liabilities '!L15)*100</f>
        <v>10.292691754698895</v>
      </c>
      <c r="E16" s="15">
        <f>('Portfolio equity assets '!AE15)/('Portfolio equity assets '!AE15+('Market Cap'!AE15/1000000)-'Portfolio equity liabilities '!AE15)*100</f>
        <v>33.352701323382341</v>
      </c>
      <c r="F16" s="12">
        <f t="shared" si="2"/>
        <v>0.9618038044165198</v>
      </c>
      <c r="G16" s="12">
        <f t="shared" si="2"/>
        <v>0.89707308245301109</v>
      </c>
      <c r="H16" s="15">
        <f>(100-E16)/100</f>
        <v>0.6664729867661765</v>
      </c>
      <c r="I16" s="12">
        <f>('Portfolio debt assets '!B15)/(('Portfolio debt assets '!B15+('Domestic debt'!B15*1000)))*100</f>
        <v>31.260963091456883</v>
      </c>
      <c r="J16" s="15">
        <f>('Portfolio debt assets '!L15)/(('Portfolio debt assets '!L15+('Domestic debt'!L15*1000)))*100</f>
        <v>22.822034110211593</v>
      </c>
      <c r="K16" s="12">
        <f t="shared" si="1"/>
        <v>0.68739036908543116</v>
      </c>
      <c r="L16" s="15">
        <f t="shared" si="1"/>
        <v>0.77177965889788414</v>
      </c>
    </row>
    <row r="17" spans="1:12" x14ac:dyDescent="0.3">
      <c r="A17" s="18"/>
      <c r="B17" s="20" t="s">
        <v>15</v>
      </c>
      <c r="C17" s="12">
        <f>('Portfolio equity assets '!B16)/('Portfolio equity assets '!B16+('Market Cap'!B16/1000000)-'Portfolio equity liabilities '!B16)*100</f>
        <v>1.1584900585308815</v>
      </c>
      <c r="D17" s="12">
        <f>('Portfolio equity assets '!L16)/('Portfolio equity assets '!L16+('Market Cap'!L16/1000000)-'Portfolio equity liabilities '!L16)*100</f>
        <v>12.484907552295295</v>
      </c>
      <c r="E17" s="15">
        <f>('Portfolio equity assets '!AE16)/('Portfolio equity assets '!AE16+('Market Cap'!AE16/1000000)-'Portfolio equity liabilities '!AE16)*100</f>
        <v>17.190775560186516</v>
      </c>
      <c r="F17" s="12">
        <f t="shared" si="2"/>
        <v>0.98841509941469108</v>
      </c>
      <c r="G17" s="12">
        <f t="shared" si="2"/>
        <v>0.87515092447704701</v>
      </c>
      <c r="H17" s="15">
        <f>(100-E17)/100</f>
        <v>0.82809224439813478</v>
      </c>
      <c r="I17" s="12">
        <f>('Portfolio debt assets '!B16)/(('Portfolio debt assets '!B16+('Domestic debt'!B16*1000)))*100</f>
        <v>34.455667789001119</v>
      </c>
      <c r="J17" s="15">
        <f>('Portfolio debt assets '!L16)/(('Portfolio debt assets '!L16+('Domestic debt'!L16*1000)))*100</f>
        <v>24.493423820346642</v>
      </c>
      <c r="K17" s="12">
        <f t="shared" si="1"/>
        <v>0.65544332210998879</v>
      </c>
      <c r="L17" s="15">
        <f t="shared" si="1"/>
        <v>0.75506576179653362</v>
      </c>
    </row>
    <row r="18" spans="1:12" x14ac:dyDescent="0.3">
      <c r="A18" s="18"/>
      <c r="B18" s="20" t="s">
        <v>16</v>
      </c>
      <c r="C18" s="12">
        <f>('Portfolio equity assets '!B17)/('Portfolio equity assets '!B17+('Market Cap'!B17/1000000)-'Portfolio equity liabilities '!B17)*100</f>
        <v>40.032453447546636</v>
      </c>
      <c r="D18" s="12">
        <f>('Portfolio equity assets '!L17)/('Portfolio equity assets '!L17+('Market Cap'!L17/1000000)-'Portfolio equity liabilities '!L17)*100</f>
        <v>68.525319673448166</v>
      </c>
      <c r="E18" s="16" t="s">
        <v>37</v>
      </c>
      <c r="F18" s="12">
        <f t="shared" si="2"/>
        <v>0.59967546552453366</v>
      </c>
      <c r="G18" s="12">
        <f t="shared" si="2"/>
        <v>0.31474680326551835</v>
      </c>
      <c r="H18" s="16" t="s">
        <v>38</v>
      </c>
      <c r="I18" s="12">
        <f>('Portfolio debt assets '!B17)/(('Portfolio debt assets '!B17+('Domestic debt'!B17*1000)))*100</f>
        <v>54.863225515057366</v>
      </c>
      <c r="J18" s="15">
        <f>('Portfolio debt assets '!L17)/(('Portfolio debt assets '!L17+('Domestic debt'!L17*1000)))*100</f>
        <v>65.737463937505041</v>
      </c>
      <c r="K18" s="12">
        <f t="shared" si="1"/>
        <v>0.45136774484942632</v>
      </c>
      <c r="L18" s="15">
        <f t="shared" si="1"/>
        <v>0.34262536062494958</v>
      </c>
    </row>
    <row r="19" spans="1:12" x14ac:dyDescent="0.3">
      <c r="A19" s="18"/>
      <c r="B19" s="20" t="s">
        <v>17</v>
      </c>
      <c r="C19" s="12">
        <f>('Portfolio equity assets '!B18)/('Portfolio equity assets '!B18+('Market Cap'!B18/1000000)-'Portfolio equity liabilities '!B18)*100</f>
        <v>2.7978741286987723</v>
      </c>
      <c r="D19" s="12">
        <f>('Portfolio equity assets '!L18)/('Portfolio equity assets '!L18+('Market Cap'!L18/1000000)-'Portfolio equity liabilities '!L18)*100</f>
        <v>42.602803351896981</v>
      </c>
      <c r="E19" s="15">
        <f>('Portfolio equity assets '!AE18)/('Portfolio equity assets '!AE18+('Market Cap'!AE18/1000000)-'Portfolio equity liabilities '!AE18)*100</f>
        <v>62.663965853783566</v>
      </c>
      <c r="F19" s="12">
        <f t="shared" si="2"/>
        <v>0.97202125871301237</v>
      </c>
      <c r="G19" s="12">
        <f t="shared" si="2"/>
        <v>0.57397196648103022</v>
      </c>
      <c r="H19" s="15">
        <f>(100-E19)/100</f>
        <v>0.37336034146216435</v>
      </c>
      <c r="I19" s="12">
        <f>('Portfolio debt assets '!B18)/(('Portfolio debt assets '!B18+('Domestic debt'!B18*1000)))*100</f>
        <v>11.826850688148985</v>
      </c>
      <c r="J19" s="15">
        <f>('Portfolio debt assets '!L18)/(('Portfolio debt assets '!L18+('Domestic debt'!L18*1000)))*100</f>
        <v>45.644607321409055</v>
      </c>
      <c r="K19" s="12">
        <f t="shared" si="1"/>
        <v>0.88173149311851018</v>
      </c>
      <c r="L19" s="15">
        <f t="shared" si="1"/>
        <v>0.54355392678590941</v>
      </c>
    </row>
    <row r="20" spans="1:12" x14ac:dyDescent="0.3">
      <c r="A20" s="18"/>
      <c r="B20" s="20" t="s">
        <v>18</v>
      </c>
      <c r="C20" s="12">
        <f>('Portfolio equity assets '!B19)/('Portfolio equity assets '!B19+('Market Cap'!B19/1000000)-'Portfolio equity liabilities '!B19)*100</f>
        <v>22.234174584538451</v>
      </c>
      <c r="D20" s="12">
        <f>('Portfolio equity assets '!L19)/('Portfolio equity assets '!L19+('Market Cap'!L19/1000000)-'Portfolio equity liabilities '!L19)*100</f>
        <v>50.985579851352128</v>
      </c>
      <c r="E20" s="16" t="s">
        <v>37</v>
      </c>
      <c r="F20" s="12">
        <f t="shared" si="2"/>
        <v>0.77765825415461554</v>
      </c>
      <c r="G20" s="12">
        <f t="shared" si="2"/>
        <v>0.49014420148647875</v>
      </c>
      <c r="H20" s="16" t="s">
        <v>38</v>
      </c>
      <c r="I20" s="12">
        <f>('Portfolio debt assets '!B19)/(('Portfolio debt assets '!B19+('Domestic debt'!B19*1000)))*100</f>
        <v>34.61877923319603</v>
      </c>
      <c r="J20" s="15">
        <f>('Portfolio debt assets '!L19)/(('Portfolio debt assets '!L19+('Domestic debt'!L19*1000)))*100</f>
        <v>69.115971060073804</v>
      </c>
      <c r="K20" s="12">
        <f t="shared" si="1"/>
        <v>0.65381220766803982</v>
      </c>
      <c r="L20" s="15">
        <f t="shared" si="1"/>
        <v>0.30884028939926195</v>
      </c>
    </row>
    <row r="21" spans="1:12" x14ac:dyDescent="0.3">
      <c r="A21" s="18"/>
      <c r="B21" s="20" t="s">
        <v>19</v>
      </c>
      <c r="C21" s="13" t="s">
        <v>37</v>
      </c>
      <c r="D21" s="12">
        <f>('Portfolio equity assets '!L20)/('Portfolio equity assets '!L20+('Market Cap'!L20/1000000)-'Portfolio equity liabilities '!L20)*100</f>
        <v>37.378884043757012</v>
      </c>
      <c r="E21" s="16" t="s">
        <v>37</v>
      </c>
      <c r="F21" s="13" t="s">
        <v>37</v>
      </c>
      <c r="G21" s="12">
        <f t="shared" si="2"/>
        <v>0.6262111595624299</v>
      </c>
      <c r="H21" s="16" t="s">
        <v>37</v>
      </c>
      <c r="I21" s="12">
        <f>('Portfolio debt assets '!B20)/(('Portfolio debt assets '!B20+('Domestic debt'!B20*1000)))*100</f>
        <v>37.429491189276938</v>
      </c>
      <c r="J21" s="15">
        <f>('Portfolio debt assets '!L20)/(('Portfolio debt assets '!L20+('Domestic debt'!L20*1000)))*100</f>
        <v>67.402180662948325</v>
      </c>
      <c r="K21" s="12">
        <f t="shared" si="1"/>
        <v>0.62570508810723058</v>
      </c>
      <c r="L21" s="15">
        <f t="shared" si="1"/>
        <v>0.32597819337051676</v>
      </c>
    </row>
    <row r="22" spans="1:12" x14ac:dyDescent="0.3">
      <c r="A22" s="18"/>
      <c r="B22" s="20" t="s">
        <v>20</v>
      </c>
      <c r="C22" s="12">
        <f>('Portfolio equity assets '!B21)/('Portfolio equity assets '!B21+('Market Cap'!B21/1000000)-'Portfolio equity liabilities '!B21)*100</f>
        <v>5.8474451655416164</v>
      </c>
      <c r="D22" s="12">
        <f>('Portfolio equity assets '!L21)/('Portfolio equity assets '!L21+('Market Cap'!L21/1000000)-'Portfolio equity liabilities '!L21)*100</f>
        <v>13.05118145662661</v>
      </c>
      <c r="E22" s="15">
        <f>('Portfolio equity assets '!AE21)/('Portfolio equity assets '!AE21+('Market Cap'!AE21/1000000)-'Portfolio equity liabilities '!AE21)*100</f>
        <v>53.848490947617613</v>
      </c>
      <c r="F22" s="12">
        <f t="shared" ref="F22:F27" si="3">(100-C22)/100</f>
        <v>0.94152554834458391</v>
      </c>
      <c r="G22" s="12">
        <f t="shared" si="2"/>
        <v>0.86948818543373396</v>
      </c>
      <c r="H22" s="15">
        <f>(100-E22)/100</f>
        <v>0.46151509052382389</v>
      </c>
      <c r="I22" s="12">
        <f>('Portfolio debt assets '!B21)/(('Portfolio debt assets '!B21+('Domestic debt'!B21*1000)))*100</f>
        <v>36.687217260472757</v>
      </c>
      <c r="J22" s="15">
        <f>('Portfolio debt assets '!L21)/(('Portfolio debt assets '!L21+('Domestic debt'!L21*1000)))*100</f>
        <v>53.281968491600374</v>
      </c>
      <c r="K22" s="12">
        <f t="shared" si="1"/>
        <v>0.6331278273952724</v>
      </c>
      <c r="L22" s="15">
        <f t="shared" si="1"/>
        <v>0.46718031508399627</v>
      </c>
    </row>
    <row r="23" spans="1:12" x14ac:dyDescent="0.3">
      <c r="A23" s="18"/>
      <c r="B23" s="20" t="s">
        <v>21</v>
      </c>
      <c r="C23" s="12">
        <f>('Portfolio equity assets '!B22)/('Portfolio equity assets '!B22+('Market Cap'!B22/1000000)-'Portfolio equity liabilities '!B22)*100</f>
        <v>16.05474990463124</v>
      </c>
      <c r="D23" s="12">
        <f>('Portfolio equity assets '!L22)/('Portfolio equity assets '!L22+('Market Cap'!L22/1000000)-'Portfolio equity liabilities '!L22)*100</f>
        <v>41.599128084056098</v>
      </c>
      <c r="E23" s="16" t="s">
        <v>37</v>
      </c>
      <c r="F23" s="12">
        <f t="shared" si="3"/>
        <v>0.83945250095368762</v>
      </c>
      <c r="G23" s="12">
        <f t="shared" si="2"/>
        <v>0.58400871915943897</v>
      </c>
      <c r="H23" s="16" t="s">
        <v>37</v>
      </c>
      <c r="I23" s="12">
        <f>('Portfolio debt assets '!B22)/(('Portfolio debt assets '!B22+('Domestic debt'!B22*1000)))*100</f>
        <v>21.763608162944276</v>
      </c>
      <c r="J23" s="15">
        <f>('Portfolio debt assets '!L22)/(('Portfolio debt assets '!L22+('Domestic debt'!L22*1000)))*100</f>
        <v>39.288288196929223</v>
      </c>
      <c r="K23" s="12">
        <f t="shared" si="1"/>
        <v>0.78236391837055719</v>
      </c>
      <c r="L23" s="15">
        <f t="shared" si="1"/>
        <v>0.60711711803070778</v>
      </c>
    </row>
    <row r="24" spans="1:12" x14ac:dyDescent="0.3">
      <c r="A24" s="18"/>
      <c r="B24" s="20" t="s">
        <v>22</v>
      </c>
      <c r="C24" s="12">
        <f>('Portfolio equity assets '!B23)/('Portfolio equity assets '!B23+('Market Cap'!B23/1000000)-'Portfolio equity liabilities '!B23)*100</f>
        <v>40.281825925827285</v>
      </c>
      <c r="D24" s="12">
        <f>('Portfolio equity assets '!L23)/('Portfolio equity assets '!L23+('Market Cap'!L23/1000000)-'Portfolio equity liabilities '!L23)*100</f>
        <v>47.506767470666908</v>
      </c>
      <c r="E24" s="15">
        <f>('Portfolio equity assets '!AE23)/('Portfolio equity assets '!AE23+('Market Cap'!AE23/1000000)-'Portfolio equity liabilities '!AE23)*100</f>
        <v>63.430012044809622</v>
      </c>
      <c r="F24" s="12">
        <f t="shared" si="3"/>
        <v>0.59718174074172714</v>
      </c>
      <c r="G24" s="12">
        <f t="shared" si="2"/>
        <v>0.52493232529333089</v>
      </c>
      <c r="H24" s="15">
        <f>(100-E24)/100</f>
        <v>0.36569987955190375</v>
      </c>
      <c r="I24" s="12">
        <f>('Portfolio debt assets '!B23)/(('Portfolio debt assets '!B23+('Domestic debt'!B23*1000)))*100</f>
        <v>71.42842773064406</v>
      </c>
      <c r="J24" s="15">
        <f>('Portfolio debt assets '!L23)/(('Portfolio debt assets '!L23+('Domestic debt'!L23*1000)))*100</f>
        <v>82.235767479479293</v>
      </c>
      <c r="K24" s="12">
        <f t="shared" si="1"/>
        <v>0.28571572269355938</v>
      </c>
      <c r="L24" s="15">
        <f t="shared" si="1"/>
        <v>0.17764232520520706</v>
      </c>
    </row>
    <row r="25" spans="1:12" x14ac:dyDescent="0.3">
      <c r="A25" s="18"/>
      <c r="B25" s="20" t="s">
        <v>23</v>
      </c>
      <c r="C25" s="12">
        <f>('Portfolio equity assets '!B24)/('Portfolio equity assets '!B24+('Market Cap'!B24/1000000)-'Portfolio equity liabilities '!B24)*100</f>
        <v>1.8271360102263094</v>
      </c>
      <c r="D25" s="12">
        <f>('Portfolio equity assets '!L24)/('Portfolio equity assets '!L24+('Market Cap'!L24/1000000)-'Portfolio equity liabilities '!L24)*100</f>
        <v>2.3324543411373733</v>
      </c>
      <c r="E25" s="15">
        <f>('Portfolio equity assets '!AE24)/('Portfolio equity assets '!AE24+('Market Cap'!AE24/1000000)-'Portfolio equity liabilities '!AE24)*100</f>
        <v>1.0591875801273625</v>
      </c>
      <c r="F25" s="12">
        <f t="shared" si="3"/>
        <v>0.98172863989773684</v>
      </c>
      <c r="G25" s="12">
        <f t="shared" si="2"/>
        <v>0.9766754565886262</v>
      </c>
      <c r="H25" s="15">
        <f t="shared" si="2"/>
        <v>0.98940812419872648</v>
      </c>
      <c r="I25" s="12">
        <f>('Portfolio debt assets '!B24)/(('Portfolio debt assets '!B24+('Domestic debt'!B24*1000)))*100</f>
        <v>49.117465150578049</v>
      </c>
      <c r="J25" s="15">
        <f>('Portfolio debt assets '!L24)/(('Portfolio debt assets '!L24+('Domestic debt'!L24*1000)))*100</f>
        <v>21.359050927584835</v>
      </c>
      <c r="K25" s="12">
        <f t="shared" si="1"/>
        <v>0.50882534849421956</v>
      </c>
      <c r="L25" s="15">
        <f t="shared" si="1"/>
        <v>0.78640949072415167</v>
      </c>
    </row>
    <row r="26" spans="1:12" x14ac:dyDescent="0.3">
      <c r="A26" s="18"/>
      <c r="B26" s="20" t="s">
        <v>24</v>
      </c>
      <c r="C26" s="12">
        <f>('Portfolio equity assets '!B25)/('Portfolio equity assets '!B25+('Market Cap'!B25/1000000)-'Portfolio equity liabilities '!B25)*100</f>
        <v>23.184172725468063</v>
      </c>
      <c r="D26" s="12">
        <f>('Portfolio equity assets '!L25)/('Portfolio equity assets '!L25+('Market Cap'!L25/1000000)-'Portfolio equity liabilities '!L25)*100</f>
        <v>36.169864109622111</v>
      </c>
      <c r="E26" s="15">
        <f>('Portfolio equity assets '!AE25)/('Portfolio equity assets '!AE25+('Market Cap'!AE25/1000000)-'Portfolio equity liabilities '!AE25)*100</f>
        <v>67.55922197666581</v>
      </c>
      <c r="F26" s="12">
        <f t="shared" si="3"/>
        <v>0.76815827274531945</v>
      </c>
      <c r="G26" s="12">
        <f t="shared" si="2"/>
        <v>0.63830135890377893</v>
      </c>
      <c r="H26" s="15">
        <f t="shared" si="2"/>
        <v>0.32440778023334188</v>
      </c>
      <c r="I26" s="12">
        <f>('Portfolio debt assets '!B25)/(('Portfolio debt assets '!B25+('Domestic debt'!B25*1000)))*100</f>
        <v>77.189874766788392</v>
      </c>
      <c r="J26" s="15">
        <f>('Portfolio debt assets '!L25)/(('Portfolio debt assets '!L25+('Domestic debt'!L25*1000)))*100</f>
        <v>84.025944538949631</v>
      </c>
      <c r="K26" s="12">
        <f t="shared" si="1"/>
        <v>0.22810125233211609</v>
      </c>
      <c r="L26" s="15">
        <f t="shared" si="1"/>
        <v>0.15974055461050368</v>
      </c>
    </row>
    <row r="27" spans="1:12" x14ac:dyDescent="0.3">
      <c r="A27" s="18"/>
      <c r="B27" s="20" t="s">
        <v>25</v>
      </c>
      <c r="C27" s="12">
        <f>('Portfolio equity assets '!B26)/('Portfolio equity assets '!B26+('Market Cap'!B26/1000000)-'Portfolio equity liabilities '!B26)*100</f>
        <v>10.031724839620129</v>
      </c>
      <c r="D27" s="12">
        <f>('Portfolio equity assets '!L26)/('Portfolio equity assets '!L26+('Market Cap'!L26/1000000)-'Portfolio equity liabilities '!L26)*100</f>
        <v>14.334733151793907</v>
      </c>
      <c r="E27" s="15">
        <f>('Portfolio equity assets '!AE26)/('Portfolio equity assets '!AE26+('Market Cap'!AE26/1000000)-'Portfolio equity liabilities '!AE26)*100</f>
        <v>26.734185428203173</v>
      </c>
      <c r="F27" s="12">
        <f t="shared" si="3"/>
        <v>0.89968275160379874</v>
      </c>
      <c r="G27" s="12">
        <f t="shared" si="2"/>
        <v>0.8566526684820609</v>
      </c>
      <c r="H27" s="15">
        <f>(100-E27)/100</f>
        <v>0.73265814571796828</v>
      </c>
      <c r="I27" s="12">
        <f>('Portfolio debt assets '!B26)/(('Portfolio debt assets '!B26+('Domestic debt'!B26*1000)))*100</f>
        <v>12.836217053468314</v>
      </c>
      <c r="J27" s="15">
        <f>('Portfolio debt assets '!L26)/(('Portfolio debt assets '!L26+('Domestic debt'!L26*1000)))*100</f>
        <v>16.580956348719987</v>
      </c>
      <c r="K27" s="12">
        <f t="shared" si="1"/>
        <v>0.87163782946531687</v>
      </c>
      <c r="L27" s="15">
        <f t="shared" si="1"/>
        <v>0.83419043651280023</v>
      </c>
    </row>
    <row r="28" spans="1:12" ht="15" thickBot="1" x14ac:dyDescent="0.35">
      <c r="A28" s="18"/>
      <c r="B28" s="20"/>
      <c r="C28" s="7"/>
      <c r="D28" s="7"/>
      <c r="E28" s="17"/>
      <c r="F28" s="7"/>
      <c r="G28" s="12"/>
      <c r="H28" s="17"/>
      <c r="I28" s="7"/>
      <c r="J28" s="24"/>
      <c r="K28" s="7"/>
      <c r="L28" s="17"/>
    </row>
    <row r="29" spans="1:12" ht="15" thickBot="1" x14ac:dyDescent="0.35">
      <c r="B29" s="21" t="s">
        <v>39</v>
      </c>
      <c r="C29" s="22">
        <f>AVERAGE(C4:C11,C15:C20,C22:C27)</f>
        <v>16.457392179025948</v>
      </c>
      <c r="D29" s="22">
        <f>AVERAGE(D4:D8,D10:D12,D15:D27)</f>
        <v>32.908298918464439</v>
      </c>
      <c r="E29" s="23">
        <f t="shared" ref="E29:L29" si="4">AVERAGE(E4:E27)</f>
        <v>44.733075483550301</v>
      </c>
      <c r="F29" s="22">
        <f t="shared" si="4"/>
        <v>0.83542607820974057</v>
      </c>
      <c r="G29" s="22">
        <f t="shared" si="4"/>
        <v>0.67091701081535582</v>
      </c>
      <c r="H29" s="23">
        <f t="shared" si="4"/>
        <v>0.552669245164497</v>
      </c>
      <c r="I29" s="22">
        <f t="shared" si="4"/>
        <v>35.558183817129006</v>
      </c>
      <c r="J29" s="23">
        <f t="shared" si="4"/>
        <v>47.903020679344174</v>
      </c>
      <c r="K29" s="22">
        <f t="shared" si="4"/>
        <v>0.64441816182870992</v>
      </c>
      <c r="L29" s="23">
        <f t="shared" si="4"/>
        <v>0.52096979320655834</v>
      </c>
    </row>
  </sheetData>
  <mergeCells count="4">
    <mergeCell ref="C2:E2"/>
    <mergeCell ref="F2:H2"/>
    <mergeCell ref="I2:J2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CFB7-CB95-4988-A752-6A7D60F32F93}">
  <dimension ref="A1:AE26"/>
  <sheetViews>
    <sheetView topLeftCell="C1" workbookViewId="0">
      <selection activeCell="AE25" sqref="AE25"/>
    </sheetView>
  </sheetViews>
  <sheetFormatPr defaultRowHeight="14.4" x14ac:dyDescent="0.3"/>
  <cols>
    <col min="1" max="1" width="14.6640625" customWidth="1"/>
  </cols>
  <sheetData>
    <row r="1" spans="1:31" ht="22.2" customHeight="1" x14ac:dyDescent="0.3">
      <c r="A1" s="2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26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ht="22.2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  <c r="T2" s="3">
        <v>2011</v>
      </c>
      <c r="U2" s="3">
        <v>2012</v>
      </c>
      <c r="V2" s="3">
        <v>2013</v>
      </c>
      <c r="W2" s="3">
        <v>2014</v>
      </c>
      <c r="X2" s="3">
        <v>2015</v>
      </c>
      <c r="Y2" s="3">
        <v>2016</v>
      </c>
      <c r="Z2" s="3">
        <v>2017</v>
      </c>
      <c r="AA2" s="3">
        <v>2018</v>
      </c>
      <c r="AB2" s="3">
        <v>2019</v>
      </c>
      <c r="AC2" s="3">
        <v>2020</v>
      </c>
      <c r="AD2" s="3">
        <v>2021</v>
      </c>
      <c r="AE2" s="3">
        <v>2022</v>
      </c>
    </row>
    <row r="3" spans="1:31" x14ac:dyDescent="0.3">
      <c r="A3" s="4" t="s">
        <v>2</v>
      </c>
      <c r="B3">
        <v>21523.6548</v>
      </c>
      <c r="C3">
        <v>22662.36261652</v>
      </c>
      <c r="D3">
        <v>27175.365000000002</v>
      </c>
      <c r="E3">
        <v>31681.587579840099</v>
      </c>
      <c r="F3">
        <v>33076.225706759898</v>
      </c>
      <c r="G3">
        <v>36782.432999160097</v>
      </c>
      <c r="H3">
        <v>57208.807599999898</v>
      </c>
      <c r="I3">
        <v>59195.453999999998</v>
      </c>
      <c r="J3">
        <v>60057.793200000102</v>
      </c>
      <c r="K3">
        <v>65500.8469999999</v>
      </c>
      <c r="L3">
        <v>92943.000000000306</v>
      </c>
      <c r="M3">
        <v>114631.408</v>
      </c>
      <c r="N3">
        <v>137520.32579999999</v>
      </c>
      <c r="O3">
        <v>188372.13020000001</v>
      </c>
      <c r="P3">
        <v>267546.204800001</v>
      </c>
      <c r="Q3">
        <v>161055.21599999999</v>
      </c>
      <c r="R3">
        <v>244571.17649999901</v>
      </c>
      <c r="S3">
        <v>283837.3455</v>
      </c>
      <c r="T3">
        <v>299082.01280000003</v>
      </c>
      <c r="U3">
        <v>360778.80800000002</v>
      </c>
      <c r="V3">
        <v>396083.76749999903</v>
      </c>
      <c r="W3">
        <v>420691.2426</v>
      </c>
      <c r="X3">
        <v>394464.821400001</v>
      </c>
      <c r="Y3">
        <v>427599.84240000101</v>
      </c>
      <c r="Z3">
        <v>526353.36000000103</v>
      </c>
      <c r="AA3">
        <v>502371.50080000103</v>
      </c>
      <c r="AB3">
        <v>620559.25239999895</v>
      </c>
      <c r="AC3">
        <v>692134.06840000197</v>
      </c>
      <c r="AD3">
        <v>867650.71200000099</v>
      </c>
      <c r="AE3">
        <v>725581.49750000099</v>
      </c>
    </row>
    <row r="4" spans="1:31" x14ac:dyDescent="0.3">
      <c r="A4" s="4" t="s">
        <v>3</v>
      </c>
      <c r="B4">
        <v>3722.3091493041302</v>
      </c>
      <c r="C4">
        <v>4941.1979214148996</v>
      </c>
      <c r="D4">
        <v>5868.35844567803</v>
      </c>
      <c r="E4">
        <v>6454.2632828190599</v>
      </c>
      <c r="F4">
        <v>11501.6227341091</v>
      </c>
      <c r="G4">
        <v>17225.266025368201</v>
      </c>
      <c r="H4">
        <v>28935.795180000001</v>
      </c>
      <c r="I4">
        <v>42698.318749999999</v>
      </c>
      <c r="J4">
        <v>31190.320009633298</v>
      </c>
      <c r="K4">
        <v>30047.485041673401</v>
      </c>
      <c r="L4">
        <v>44150.093062961998</v>
      </c>
      <c r="M4">
        <v>54934.612213052198</v>
      </c>
      <c r="N4">
        <v>63610.769729798303</v>
      </c>
      <c r="O4">
        <v>88108.616999999998</v>
      </c>
      <c r="P4">
        <v>100796.1591</v>
      </c>
      <c r="Q4">
        <v>54860.813999999998</v>
      </c>
      <c r="R4">
        <v>75206.523000000001</v>
      </c>
      <c r="S4">
        <v>87505.065600000002</v>
      </c>
      <c r="T4">
        <v>74039.545800000007</v>
      </c>
      <c r="U4">
        <v>86708.329199999993</v>
      </c>
      <c r="V4">
        <v>101631.39539999999</v>
      </c>
      <c r="W4">
        <v>99761.382899999997</v>
      </c>
      <c r="X4">
        <v>97545.342600000004</v>
      </c>
      <c r="Y4">
        <v>106821.4399</v>
      </c>
      <c r="Z4">
        <v>142346.11629999999</v>
      </c>
      <c r="AA4">
        <v>126840.81</v>
      </c>
      <c r="AB4">
        <v>158578.02059999999</v>
      </c>
      <c r="AC4">
        <v>184369.32079999999</v>
      </c>
      <c r="AD4">
        <v>213787.31080000001</v>
      </c>
      <c r="AE4">
        <v>181068.14920000001</v>
      </c>
    </row>
    <row r="5" spans="1:31" x14ac:dyDescent="0.3">
      <c r="A5" s="4" t="s">
        <v>4</v>
      </c>
      <c r="B5">
        <v>59318.7482691775</v>
      </c>
      <c r="C5">
        <v>59803.690616411499</v>
      </c>
      <c r="D5">
        <v>63766.785653578103</v>
      </c>
      <c r="E5">
        <v>64571.160756131903</v>
      </c>
      <c r="F5">
        <v>64661.430119176599</v>
      </c>
      <c r="G5">
        <v>94141.6361769512</v>
      </c>
      <c r="H5">
        <v>125273.62</v>
      </c>
      <c r="I5">
        <v>124687</v>
      </c>
      <c r="J5">
        <v>110225.95359999999</v>
      </c>
      <c r="K5">
        <v>104970.6752</v>
      </c>
      <c r="L5">
        <v>146643.141</v>
      </c>
      <c r="M5">
        <v>172163.99160000001</v>
      </c>
      <c r="N5">
        <v>204559.98</v>
      </c>
      <c r="O5">
        <v>248209.72200000001</v>
      </c>
      <c r="P5">
        <v>313728.06359999999</v>
      </c>
      <c r="Q5">
        <v>233392.26509999999</v>
      </c>
      <c r="R5">
        <v>261133.2402</v>
      </c>
      <c r="S5">
        <v>260080.6404</v>
      </c>
      <c r="T5">
        <v>219124.5528</v>
      </c>
      <c r="U5">
        <v>257308.0686</v>
      </c>
      <c r="V5">
        <v>312373.04550000001</v>
      </c>
      <c r="W5">
        <v>317052.50219999999</v>
      </c>
      <c r="X5">
        <v>306907.79609999998</v>
      </c>
      <c r="Y5">
        <v>339554.07069999998</v>
      </c>
      <c r="Z5">
        <v>430389.19309999997</v>
      </c>
      <c r="AA5">
        <v>363493.99</v>
      </c>
      <c r="AB5">
        <v>439410.04619999998</v>
      </c>
      <c r="AC5">
        <v>513156.04060000001</v>
      </c>
      <c r="AD5">
        <v>574769.58279999997</v>
      </c>
      <c r="AE5">
        <v>475011.37660000002</v>
      </c>
    </row>
    <row r="6" spans="1:31" x14ac:dyDescent="0.3">
      <c r="A6" s="4" t="s">
        <v>5</v>
      </c>
      <c r="B6">
        <v>69689.521827948905</v>
      </c>
      <c r="C6">
        <v>74056.705664146095</v>
      </c>
      <c r="D6">
        <v>89141.3075994518</v>
      </c>
      <c r="E6">
        <v>117443.81949511199</v>
      </c>
      <c r="F6">
        <v>138738.31527438</v>
      </c>
      <c r="G6">
        <v>155873.51659818701</v>
      </c>
      <c r="H6">
        <v>235440.449663965</v>
      </c>
      <c r="I6">
        <v>239948.02734244801</v>
      </c>
      <c r="J6">
        <v>230766.924912104</v>
      </c>
      <c r="K6">
        <v>203461.210699797</v>
      </c>
      <c r="L6">
        <v>275909.88044735801</v>
      </c>
      <c r="M6">
        <v>319840.20881863602</v>
      </c>
      <c r="N6">
        <v>382600.36715391203</v>
      </c>
      <c r="O6">
        <v>499606.16183284699</v>
      </c>
      <c r="P6">
        <v>608457.25814586901</v>
      </c>
      <c r="Q6">
        <v>359016.77586206899</v>
      </c>
      <c r="R6">
        <v>478116.571836346</v>
      </c>
      <c r="S6">
        <v>580362.94289161498</v>
      </c>
      <c r="T6">
        <v>584147.25532939995</v>
      </c>
      <c r="U6">
        <v>702729.35269876395</v>
      </c>
      <c r="V6">
        <v>857015.11094396398</v>
      </c>
      <c r="W6">
        <v>934684.25739160401</v>
      </c>
      <c r="X6">
        <v>926438.48265896004</v>
      </c>
      <c r="Y6">
        <v>1012797.87815595</v>
      </c>
      <c r="Z6">
        <v>1333310.1586289399</v>
      </c>
      <c r="AA6">
        <v>1200859.17454732</v>
      </c>
      <c r="AB6">
        <v>1370524.1480971</v>
      </c>
      <c r="AC6">
        <v>1588606.2826695701</v>
      </c>
      <c r="AD6">
        <v>2055860.2697240601</v>
      </c>
      <c r="AE6">
        <v>1572584.4350510901</v>
      </c>
    </row>
    <row r="7" spans="1:31" x14ac:dyDescent="0.3">
      <c r="A7" s="4" t="s">
        <v>6</v>
      </c>
      <c r="B7">
        <v>7973.4219269102996</v>
      </c>
      <c r="C7">
        <v>8877.1987506164696</v>
      </c>
      <c r="D7">
        <v>10818.6080057699</v>
      </c>
      <c r="E7">
        <v>16149.3817814787</v>
      </c>
      <c r="F7">
        <v>22414.298271315602</v>
      </c>
      <c r="G7">
        <v>32622.876379863799</v>
      </c>
      <c r="H7">
        <v>50132.318754392603</v>
      </c>
      <c r="I7">
        <v>56480.1446293872</v>
      </c>
      <c r="J7">
        <v>47977.515745056196</v>
      </c>
      <c r="K7">
        <v>35795.8578338144</v>
      </c>
      <c r="L7">
        <v>52117.8300778673</v>
      </c>
      <c r="M7">
        <v>65428.1161602184</v>
      </c>
      <c r="N7">
        <v>88374.156006388293</v>
      </c>
      <c r="O7">
        <v>132046.843536934</v>
      </c>
      <c r="P7">
        <v>156759.40338502199</v>
      </c>
      <c r="Q7">
        <v>85198.773865163006</v>
      </c>
      <c r="R7">
        <v>115037.282518641</v>
      </c>
      <c r="S7">
        <v>136051.342347639</v>
      </c>
      <c r="T7">
        <v>129215.57365636301</v>
      </c>
      <c r="U7">
        <v>161706.80850311901</v>
      </c>
      <c r="V7">
        <v>206434.86614813301</v>
      </c>
      <c r="W7">
        <v>216415.68922142001</v>
      </c>
      <c r="X7">
        <v>211300.73206442199</v>
      </c>
      <c r="Y7">
        <v>231384.556488203</v>
      </c>
      <c r="Z7">
        <v>303430.25597242097</v>
      </c>
      <c r="AA7">
        <v>289992.63735926599</v>
      </c>
      <c r="AB7">
        <v>345591.75541874499</v>
      </c>
      <c r="AC7">
        <v>422701.23481246701</v>
      </c>
      <c r="AD7">
        <v>493882.064256538</v>
      </c>
      <c r="AE7">
        <v>396700.610997963</v>
      </c>
    </row>
    <row r="8" spans="1:31" x14ac:dyDescent="0.3">
      <c r="A8" s="4" t="s">
        <v>7</v>
      </c>
      <c r="B8">
        <v>308.23753133373702</v>
      </c>
      <c r="C8">
        <v>418.493843818519</v>
      </c>
      <c r="D8">
        <v>737.85160372596704</v>
      </c>
      <c r="E8">
        <v>1563.5564934645399</v>
      </c>
      <c r="F8">
        <v>3245.33731805855</v>
      </c>
      <c r="G8">
        <v>5270.8006279434903</v>
      </c>
      <c r="H8">
        <v>13669.592199999999</v>
      </c>
      <c r="I8">
        <v>20263.498500000002</v>
      </c>
      <c r="J8">
        <v>20157.093599999898</v>
      </c>
      <c r="K8">
        <v>22943.123016000001</v>
      </c>
      <c r="L8">
        <v>36081.889199999998</v>
      </c>
      <c r="M8">
        <v>53281.592603999998</v>
      </c>
      <c r="N8">
        <v>64511.245665000002</v>
      </c>
      <c r="O8">
        <v>96258.4764</v>
      </c>
      <c r="P8">
        <v>122329.979016</v>
      </c>
      <c r="Q8">
        <v>63345.507888</v>
      </c>
      <c r="R8">
        <v>103086.09465</v>
      </c>
      <c r="S8">
        <v>131659.420464</v>
      </c>
      <c r="T8">
        <v>113492.78230799999</v>
      </c>
      <c r="U8">
        <v>139731.86183400001</v>
      </c>
      <c r="V8">
        <v>164838.30660000001</v>
      </c>
      <c r="W8">
        <v>169793.09909999999</v>
      </c>
      <c r="X8">
        <v>169585.71030000001</v>
      </c>
      <c r="Y8">
        <v>176148.5428</v>
      </c>
      <c r="Z8">
        <v>222309.44380000001</v>
      </c>
      <c r="AA8">
        <v>208027.035</v>
      </c>
      <c r="AB8">
        <v>242316.25659999999</v>
      </c>
      <c r="AC8">
        <v>280600.95699999999</v>
      </c>
      <c r="AD8">
        <v>320915.41440000001</v>
      </c>
      <c r="AE8">
        <v>280846.446</v>
      </c>
    </row>
    <row r="9" spans="1:31" x14ac:dyDescent="0.3">
      <c r="A9" s="4" t="s">
        <v>8</v>
      </c>
      <c r="B9">
        <v>51965.058095157299</v>
      </c>
      <c r="C9">
        <v>53744.855967078198</v>
      </c>
      <c r="D9">
        <v>58363.265306122397</v>
      </c>
      <c r="E9">
        <v>73519.190376169601</v>
      </c>
      <c r="F9">
        <v>99126.601092166107</v>
      </c>
      <c r="G9">
        <v>143051.528788175</v>
      </c>
      <c r="H9">
        <v>190673.08</v>
      </c>
      <c r="I9">
        <v>210060.375</v>
      </c>
      <c r="J9">
        <v>201747.19599999901</v>
      </c>
      <c r="K9">
        <v>200095.1061</v>
      </c>
      <c r="L9">
        <v>340240.83299999998</v>
      </c>
      <c r="M9">
        <v>442653.8959</v>
      </c>
      <c r="N9">
        <v>524887.46010000003</v>
      </c>
      <c r="O9">
        <v>716800.95600000001</v>
      </c>
      <c r="P9">
        <v>826859.43270000105</v>
      </c>
      <c r="Q9">
        <v>474750.98423369997</v>
      </c>
      <c r="R9">
        <v>646027.60381740006</v>
      </c>
      <c r="S9">
        <v>665773.53817139997</v>
      </c>
      <c r="T9">
        <v>519334.67959860002</v>
      </c>
      <c r="U9">
        <v>652646.48759999999</v>
      </c>
      <c r="V9">
        <v>812303.69099999999</v>
      </c>
      <c r="W9">
        <v>770696.11080000002</v>
      </c>
      <c r="X9">
        <v>748029.43949999998</v>
      </c>
      <c r="Y9">
        <v>753755.07617999997</v>
      </c>
      <c r="Z9">
        <v>954263.70126999996</v>
      </c>
      <c r="AA9">
        <v>786403.51850000001</v>
      </c>
      <c r="AB9">
        <v>912445.25184000004</v>
      </c>
      <c r="AC9">
        <v>1044512.91924</v>
      </c>
      <c r="AD9">
        <v>1182670.4338400001</v>
      </c>
      <c r="AE9">
        <v>926568.53917999996</v>
      </c>
    </row>
    <row r="10" spans="1:31" x14ac:dyDescent="0.3">
      <c r="A10" s="4" t="s">
        <v>9</v>
      </c>
      <c r="B10">
        <v>115203.614667207</v>
      </c>
      <c r="C10">
        <v>145785.12396694199</v>
      </c>
      <c r="D10">
        <v>165971.39867457299</v>
      </c>
      <c r="E10">
        <v>187491.638795987</v>
      </c>
      <c r="F10">
        <v>241387.19937503501</v>
      </c>
      <c r="G10">
        <v>370572.02630005998</v>
      </c>
      <c r="H10">
        <v>507080.89140000002</v>
      </c>
      <c r="I10">
        <v>573062.38249999995</v>
      </c>
      <c r="J10">
        <v>490736.04159999901</v>
      </c>
      <c r="K10">
        <v>437829.10389999999</v>
      </c>
      <c r="L10">
        <v>576236.17200000002</v>
      </c>
      <c r="M10">
        <v>668229.91480000003</v>
      </c>
      <c r="N10">
        <v>771379.87659999996</v>
      </c>
      <c r="O10">
        <v>884233.8</v>
      </c>
      <c r="P10">
        <v>954029.73540000105</v>
      </c>
      <c r="Q10">
        <v>589528.29509999999</v>
      </c>
      <c r="R10">
        <v>707088.25740000105</v>
      </c>
      <c r="S10">
        <v>739717.64760000003</v>
      </c>
      <c r="T10">
        <v>647169.96299999999</v>
      </c>
      <c r="U10">
        <v>747412.39260000002</v>
      </c>
      <c r="V10">
        <v>919610.08290000004</v>
      </c>
      <c r="W10">
        <v>939768.03449999995</v>
      </c>
      <c r="X10">
        <v>952012.6263</v>
      </c>
      <c r="Y10">
        <v>1009044.6037</v>
      </c>
      <c r="Z10">
        <v>1354430.6543000001</v>
      </c>
      <c r="AA10">
        <v>1214344.635</v>
      </c>
      <c r="AB10">
        <v>1492139.199</v>
      </c>
      <c r="AC10">
        <v>1798381.3134000001</v>
      </c>
      <c r="AD10">
        <v>2153346.6891999999</v>
      </c>
      <c r="AE10">
        <v>1798676.909</v>
      </c>
    </row>
    <row r="11" spans="1:31" x14ac:dyDescent="0.3">
      <c r="A11" s="4" t="s">
        <v>10</v>
      </c>
      <c r="B11">
        <v>391.66037735849102</v>
      </c>
      <c r="C11">
        <v>411.84905660377399</v>
      </c>
      <c r="D11">
        <v>510.77358490566002</v>
      </c>
      <c r="E11">
        <v>593.54716981132106</v>
      </c>
      <c r="F11">
        <v>999.33962264150898</v>
      </c>
      <c r="G11">
        <v>1177</v>
      </c>
      <c r="H11">
        <v>1147.2532000000001</v>
      </c>
      <c r="I11">
        <v>1345.5029999999999</v>
      </c>
      <c r="J11">
        <v>2559.29519999999</v>
      </c>
      <c r="K11">
        <v>2596.5812000000001</v>
      </c>
      <c r="L11">
        <v>4386.3990000000003</v>
      </c>
      <c r="M11">
        <v>5649.9907999999996</v>
      </c>
      <c r="N11">
        <v>7837.9268000000002</v>
      </c>
      <c r="O11">
        <v>12810.459000000001</v>
      </c>
      <c r="P11">
        <v>19997.006399999998</v>
      </c>
      <c r="Q11">
        <v>15432.561299999999</v>
      </c>
      <c r="R11">
        <v>13728.918</v>
      </c>
      <c r="S11">
        <v>12246.272999999999</v>
      </c>
      <c r="T11">
        <v>11603.6952</v>
      </c>
      <c r="U11">
        <v>6852.9636</v>
      </c>
      <c r="V11">
        <v>7094.0904</v>
      </c>
      <c r="W11">
        <v>8155.1097</v>
      </c>
      <c r="X11">
        <v>14272.857</v>
      </c>
      <c r="Y11">
        <v>11558.2065</v>
      </c>
      <c r="Z11">
        <v>11402.9444</v>
      </c>
      <c r="AA11">
        <v>9382.1299999999992</v>
      </c>
      <c r="AB11">
        <v>10619.5002</v>
      </c>
      <c r="AC11">
        <v>11993.6754</v>
      </c>
      <c r="AD11">
        <v>15059.0496</v>
      </c>
      <c r="AE11">
        <v>12453.6216</v>
      </c>
    </row>
    <row r="12" spans="1:31" x14ac:dyDescent="0.3">
      <c r="A12" s="4" t="s">
        <v>11</v>
      </c>
      <c r="B12">
        <v>22.057001239157401</v>
      </c>
      <c r="C12">
        <v>47.588330156868501</v>
      </c>
      <c r="D12">
        <v>102.376207266595</v>
      </c>
      <c r="E12">
        <v>182.26939751831401</v>
      </c>
      <c r="F12">
        <v>397.28456636187298</v>
      </c>
      <c r="G12">
        <v>830.04904789382601</v>
      </c>
      <c r="H12">
        <v>1713.1219848380399</v>
      </c>
      <c r="I12">
        <v>2012.44391971665</v>
      </c>
      <c r="J12">
        <v>1754.43419135503</v>
      </c>
      <c r="K12">
        <v>1848.4239265326401</v>
      </c>
      <c r="L12">
        <v>3183.0539512607402</v>
      </c>
      <c r="M12">
        <v>5841.57929226737</v>
      </c>
      <c r="N12">
        <v>9339.4093362972399</v>
      </c>
      <c r="O12">
        <v>13392.576053586399</v>
      </c>
      <c r="P12">
        <v>20630.703314470498</v>
      </c>
      <c r="Q12">
        <v>6706.2862829656697</v>
      </c>
      <c r="R12">
        <v>5893.0024019215398</v>
      </c>
      <c r="S12">
        <v>4935.4976097348999</v>
      </c>
      <c r="T12">
        <v>4678.4125173172497</v>
      </c>
      <c r="U12">
        <v>4983.5801224901197</v>
      </c>
      <c r="V12">
        <v>5904.6127217654703</v>
      </c>
      <c r="W12">
        <v>6051.8439716312096</v>
      </c>
      <c r="X12">
        <v>6294.0196002778002</v>
      </c>
      <c r="Y12">
        <v>7759.8829994681801</v>
      </c>
      <c r="Z12">
        <v>10150.3639149588</v>
      </c>
      <c r="AA12">
        <v>9912.4989254706397</v>
      </c>
      <c r="AB12">
        <v>12999.5706028076</v>
      </c>
      <c r="AC12">
        <v>16021.8772109111</v>
      </c>
      <c r="AD12">
        <v>19863.169197729701</v>
      </c>
      <c r="AE12">
        <v>17384.0537876655</v>
      </c>
    </row>
    <row r="13" spans="1:31" x14ac:dyDescent="0.3">
      <c r="A13" s="4" t="s">
        <v>12</v>
      </c>
      <c r="B13">
        <v>13322.1843999924</v>
      </c>
      <c r="C13">
        <v>14941.5823799913</v>
      </c>
      <c r="D13">
        <v>21132.554300002201</v>
      </c>
      <c r="E13">
        <v>26887.849620022302</v>
      </c>
      <c r="F13">
        <v>39803.457869999998</v>
      </c>
      <c r="G13">
        <v>60785.341500000002</v>
      </c>
      <c r="H13">
        <v>118794.9546</v>
      </c>
      <c r="I13">
        <v>130898.08749999999</v>
      </c>
      <c r="J13">
        <v>133758.42619999999</v>
      </c>
      <c r="K13">
        <v>152856.41459999999</v>
      </c>
      <c r="L13">
        <v>222502.71</v>
      </c>
      <c r="M13">
        <v>304942.86170000001</v>
      </c>
      <c r="N13">
        <v>383154.76299999998</v>
      </c>
      <c r="O13">
        <v>573199.22699999996</v>
      </c>
      <c r="P13">
        <v>649172.54639999999</v>
      </c>
      <c r="Q13">
        <v>427868.42310000001</v>
      </c>
      <c r="R13">
        <v>539873.49360000005</v>
      </c>
      <c r="S13">
        <v>603914.29680000001</v>
      </c>
      <c r="T13">
        <v>563101.3983</v>
      </c>
      <c r="U13">
        <v>660459.97439999995</v>
      </c>
      <c r="V13">
        <v>848083.06140000001</v>
      </c>
      <c r="W13">
        <v>937974.8088</v>
      </c>
      <c r="X13">
        <v>957468.10199999996</v>
      </c>
      <c r="Y13">
        <v>1004338.0472</v>
      </c>
      <c r="Z13">
        <v>1330108.8503</v>
      </c>
      <c r="AA13">
        <v>1253337.6100000001</v>
      </c>
      <c r="AB13">
        <v>1563927.8292</v>
      </c>
      <c r="AC13">
        <v>1913370.4002</v>
      </c>
      <c r="AD13">
        <v>2324135.9736000001</v>
      </c>
      <c r="AE13">
        <v>1912680.45</v>
      </c>
    </row>
    <row r="14" spans="1:31" x14ac:dyDescent="0.3">
      <c r="A14" s="4" t="s">
        <v>13</v>
      </c>
      <c r="B14">
        <v>29894.301825725801</v>
      </c>
      <c r="C14">
        <v>33838.688647466101</v>
      </c>
      <c r="D14">
        <v>41860.026334617003</v>
      </c>
      <c r="E14">
        <v>50700.777435679098</v>
      </c>
      <c r="F14">
        <v>75233.5</v>
      </c>
      <c r="G14">
        <v>103667.59587511601</v>
      </c>
      <c r="H14">
        <v>212734.09599999999</v>
      </c>
      <c r="I14">
        <v>290478.83750000002</v>
      </c>
      <c r="J14">
        <v>243512.00299999901</v>
      </c>
      <c r="K14">
        <v>252384.33679999999</v>
      </c>
      <c r="L14">
        <v>337503.91200000001</v>
      </c>
      <c r="M14">
        <v>411978.04180000001</v>
      </c>
      <c r="N14">
        <v>433434.75670000003</v>
      </c>
      <c r="O14">
        <v>560702.21400000004</v>
      </c>
      <c r="P14">
        <v>606318.24329999997</v>
      </c>
      <c r="Q14">
        <v>330770.90580000001</v>
      </c>
      <c r="R14">
        <v>421376.94059999997</v>
      </c>
      <c r="S14">
        <v>488768.598</v>
      </c>
      <c r="T14">
        <v>450512.68979999999</v>
      </c>
      <c r="U14">
        <v>541104.41159999999</v>
      </c>
      <c r="V14">
        <v>693046.01850000001</v>
      </c>
      <c r="W14">
        <v>736554.40469999996</v>
      </c>
      <c r="X14">
        <v>763567.36589999998</v>
      </c>
      <c r="Y14">
        <v>798964.58189999999</v>
      </c>
      <c r="Z14">
        <v>1039712.7469</v>
      </c>
      <c r="AA14">
        <v>944479.58499999996</v>
      </c>
      <c r="AB14">
        <v>1059669.5179999999</v>
      </c>
      <c r="AC14">
        <v>1253717.0260999999</v>
      </c>
      <c r="AD14">
        <v>1355283.8838</v>
      </c>
      <c r="AE14">
        <v>1113711.7220000001</v>
      </c>
    </row>
    <row r="15" spans="1:31" x14ac:dyDescent="0.3">
      <c r="A15" s="4" t="s">
        <v>14</v>
      </c>
      <c r="B15">
        <v>108620.396687418</v>
      </c>
      <c r="C15">
        <v>119049.762260433</v>
      </c>
      <c r="D15">
        <v>146260.81882719099</v>
      </c>
      <c r="E15">
        <v>155093.26533286599</v>
      </c>
      <c r="F15">
        <v>158793.879026095</v>
      </c>
      <c r="G15">
        <v>209402.353981842</v>
      </c>
      <c r="H15">
        <v>285415.92336103099</v>
      </c>
      <c r="I15">
        <v>262251.75573902798</v>
      </c>
      <c r="J15">
        <v>227351.39281864901</v>
      </c>
      <c r="K15">
        <v>210818.267642461</v>
      </c>
      <c r="L15">
        <v>274458.158815509</v>
      </c>
      <c r="M15">
        <v>364691.26142080099</v>
      </c>
      <c r="N15">
        <v>408574.78376297699</v>
      </c>
      <c r="O15">
        <v>510419.41512251302</v>
      </c>
      <c r="P15">
        <v>573469.44457801396</v>
      </c>
      <c r="Q15">
        <v>394672.96435124002</v>
      </c>
      <c r="R15">
        <v>594036.85713899496</v>
      </c>
      <c r="S15">
        <v>678481.65906894405</v>
      </c>
      <c r="T15">
        <v>665849.04979616299</v>
      </c>
      <c r="U15">
        <v>687169.57342966995</v>
      </c>
      <c r="V15">
        <v>1198712.66237395</v>
      </c>
      <c r="W15">
        <v>1190117.9241676501</v>
      </c>
      <c r="X15">
        <v>1274802.74272144</v>
      </c>
      <c r="Y15">
        <v>1405904.01834915</v>
      </c>
      <c r="Z15">
        <v>1676049.6163329601</v>
      </c>
      <c r="AA15">
        <v>1631753.2299655401</v>
      </c>
      <c r="AB15">
        <v>1904929.1660047099</v>
      </c>
      <c r="AC15">
        <v>2076556.2749304599</v>
      </c>
      <c r="AD15">
        <v>2225639.8103708001</v>
      </c>
      <c r="AE15">
        <v>1838696.8434071401</v>
      </c>
    </row>
    <row r="16" spans="1:31" x14ac:dyDescent="0.3">
      <c r="A16" s="4" t="s">
        <v>15</v>
      </c>
      <c r="B16">
        <v>1785</v>
      </c>
      <c r="C16">
        <v>1878</v>
      </c>
      <c r="D16">
        <v>2212</v>
      </c>
      <c r="E16">
        <v>2361</v>
      </c>
      <c r="F16">
        <v>2946</v>
      </c>
      <c r="G16">
        <v>3322</v>
      </c>
      <c r="H16">
        <v>3381</v>
      </c>
      <c r="I16">
        <v>2855</v>
      </c>
      <c r="J16">
        <v>7882</v>
      </c>
      <c r="K16">
        <v>6922</v>
      </c>
      <c r="L16">
        <v>9418</v>
      </c>
      <c r="M16">
        <v>11752</v>
      </c>
      <c r="N16">
        <v>13508</v>
      </c>
      <c r="O16">
        <v>16612</v>
      </c>
      <c r="P16">
        <v>18193</v>
      </c>
      <c r="Q16">
        <v>10339</v>
      </c>
      <c r="R16">
        <v>14487</v>
      </c>
      <c r="S16">
        <v>21553</v>
      </c>
      <c r="T16">
        <v>19217</v>
      </c>
      <c r="U16">
        <v>29379</v>
      </c>
      <c r="V16">
        <v>37410</v>
      </c>
      <c r="W16">
        <v>41197</v>
      </c>
      <c r="X16">
        <v>39157</v>
      </c>
      <c r="Y16">
        <v>40210</v>
      </c>
      <c r="Z16">
        <v>53015</v>
      </c>
      <c r="AA16">
        <v>41621</v>
      </c>
      <c r="AB16">
        <v>42523.0084855081</v>
      </c>
      <c r="AC16">
        <v>58972.738451445097</v>
      </c>
      <c r="AD16">
        <v>75014.356459746094</v>
      </c>
      <c r="AE16">
        <v>63776.987443908904</v>
      </c>
    </row>
    <row r="17" spans="1:31" x14ac:dyDescent="0.3">
      <c r="A17" s="4" t="s">
        <v>16</v>
      </c>
      <c r="B17">
        <v>59663.352053171198</v>
      </c>
      <c r="C17">
        <v>67258.179217336205</v>
      </c>
      <c r="D17">
        <v>91747.070555971106</v>
      </c>
      <c r="E17">
        <v>107708.763477862</v>
      </c>
      <c r="F17">
        <v>124066.032123736</v>
      </c>
      <c r="G17">
        <v>173149.08936891099</v>
      </c>
      <c r="H17">
        <v>249426.10639999999</v>
      </c>
      <c r="I17">
        <v>253589.16500000001</v>
      </c>
      <c r="J17">
        <v>235023.32139999999</v>
      </c>
      <c r="K17">
        <v>217387.12040000001</v>
      </c>
      <c r="L17">
        <v>355375.36200000002</v>
      </c>
      <c r="M17">
        <v>447177.43</v>
      </c>
      <c r="N17">
        <v>479218.91369999998</v>
      </c>
      <c r="O17">
        <v>566162.49600000004</v>
      </c>
      <c r="P17">
        <v>667373.59080000001</v>
      </c>
      <c r="Q17">
        <v>428919.15659999999</v>
      </c>
      <c r="R17">
        <v>588087.49439999997</v>
      </c>
      <c r="S17">
        <v>648722.42760000005</v>
      </c>
      <c r="T17">
        <v>613952.96219999995</v>
      </c>
      <c r="U17">
        <v>721198.55339999998</v>
      </c>
      <c r="V17">
        <v>833337.72420000006</v>
      </c>
      <c r="W17">
        <v>867512.0871</v>
      </c>
      <c r="X17">
        <v>778820.05290000001</v>
      </c>
      <c r="Y17">
        <v>843027.01599999995</v>
      </c>
      <c r="Z17">
        <v>1013251.3917</v>
      </c>
      <c r="AA17">
        <v>918837.31</v>
      </c>
      <c r="AB17">
        <v>1101720.6268</v>
      </c>
      <c r="AC17">
        <v>1282259.3721</v>
      </c>
      <c r="AD17">
        <v>1370605.6965999999</v>
      </c>
      <c r="AE17">
        <v>1026170.527</v>
      </c>
    </row>
    <row r="18" spans="1:31" x14ac:dyDescent="0.3">
      <c r="A18" s="4" t="s">
        <v>17</v>
      </c>
      <c r="B18">
        <v>630.32637743999999</v>
      </c>
      <c r="C18">
        <v>952.18499999999699</v>
      </c>
      <c r="D18">
        <v>1233.4304</v>
      </c>
      <c r="E18">
        <v>4586.8819999999996</v>
      </c>
      <c r="F18">
        <v>4095.1680000000001</v>
      </c>
      <c r="G18">
        <v>4392.76530000001</v>
      </c>
      <c r="H18">
        <v>4355.3395999999902</v>
      </c>
      <c r="I18">
        <v>6606.9618</v>
      </c>
      <c r="J18">
        <v>11677.212</v>
      </c>
      <c r="K18">
        <v>12851.3385</v>
      </c>
      <c r="L18">
        <v>17876.95</v>
      </c>
      <c r="M18">
        <v>22488.075199999999</v>
      </c>
      <c r="N18">
        <v>25298.337800000001</v>
      </c>
      <c r="O18">
        <v>30079.810800000101</v>
      </c>
      <c r="P18">
        <v>36525.833999999901</v>
      </c>
      <c r="Q18">
        <v>19279.091</v>
      </c>
      <c r="R18">
        <v>29674.138900000002</v>
      </c>
      <c r="S18">
        <v>35093.8946</v>
      </c>
      <c r="T18">
        <v>32018.9768999999</v>
      </c>
      <c r="U18">
        <v>36907.968999999997</v>
      </c>
      <c r="V18">
        <v>44371.179600000003</v>
      </c>
      <c r="W18">
        <v>48082.586399999898</v>
      </c>
      <c r="X18">
        <v>47261.4719999999</v>
      </c>
      <c r="Y18">
        <v>55054.003205351502</v>
      </c>
      <c r="Z18">
        <v>67097.941802696994</v>
      </c>
      <c r="AA18">
        <v>63468.045112781998</v>
      </c>
      <c r="AB18">
        <v>78673.895474137898</v>
      </c>
      <c r="AC18">
        <v>93747.199537471999</v>
      </c>
      <c r="AD18">
        <v>119292.204686753</v>
      </c>
      <c r="AE18">
        <v>93230.915426037405</v>
      </c>
    </row>
    <row r="19" spans="1:31" x14ac:dyDescent="0.3">
      <c r="A19" s="4" t="s">
        <v>18</v>
      </c>
      <c r="B19">
        <v>5092.7992044885796</v>
      </c>
      <c r="C19">
        <v>4918.79429031372</v>
      </c>
      <c r="D19">
        <v>6374.3510025313799</v>
      </c>
      <c r="E19">
        <v>8946.2988622904395</v>
      </c>
      <c r="F19">
        <v>12825.293096478699</v>
      </c>
      <c r="G19">
        <v>25280.131578947399</v>
      </c>
      <c r="H19">
        <v>35166.490453386403</v>
      </c>
      <c r="I19">
        <v>43899.1919534384</v>
      </c>
      <c r="J19">
        <v>41570.753251364898</v>
      </c>
      <c r="K19">
        <v>55418.694000000003</v>
      </c>
      <c r="L19">
        <v>76359.346999999994</v>
      </c>
      <c r="M19">
        <v>99439.735099337806</v>
      </c>
      <c r="N19">
        <v>125958.641063516</v>
      </c>
      <c r="O19">
        <v>174889.93610223601</v>
      </c>
      <c r="P19">
        <v>248248.05914972301</v>
      </c>
      <c r="Q19">
        <v>203333</v>
      </c>
      <c r="R19">
        <v>353413.66782006901</v>
      </c>
      <c r="S19">
        <v>408184.641638225</v>
      </c>
      <c r="T19">
        <v>400423.706176962</v>
      </c>
      <c r="U19">
        <v>501746.67863554799</v>
      </c>
      <c r="V19">
        <v>609636.01973684202</v>
      </c>
      <c r="W19">
        <v>619951.413189771</v>
      </c>
      <c r="X19">
        <v>603395.57321225898</v>
      </c>
      <c r="Y19">
        <v>636158.58468677499</v>
      </c>
      <c r="Z19">
        <v>800869.06211936695</v>
      </c>
      <c r="AA19">
        <v>732211.16225546598</v>
      </c>
      <c r="AB19">
        <v>949179.49886104802</v>
      </c>
      <c r="AC19">
        <v>1091767.52637749</v>
      </c>
      <c r="AD19">
        <v>1207593.08390023</v>
      </c>
      <c r="AE19">
        <v>1037536.81541582</v>
      </c>
    </row>
    <row r="20" spans="1:31" x14ac:dyDescent="0.3">
      <c r="A20" s="4" t="s">
        <v>19</v>
      </c>
      <c r="B20">
        <v>1079.1425474795101</v>
      </c>
      <c r="C20">
        <v>1477.1849790301001</v>
      </c>
      <c r="D20">
        <v>2843.6026532372198</v>
      </c>
      <c r="E20">
        <v>4726.7374925273098</v>
      </c>
      <c r="F20">
        <v>4765.3848997622999</v>
      </c>
      <c r="G20">
        <v>6007.7849678520497</v>
      </c>
      <c r="H20">
        <v>8184.4762000000001</v>
      </c>
      <c r="I20">
        <v>8509.4225000000006</v>
      </c>
      <c r="J20">
        <v>8394.3824999999797</v>
      </c>
      <c r="K20">
        <v>9495.9785000000102</v>
      </c>
      <c r="L20">
        <v>12451.916999999999</v>
      </c>
      <c r="M20">
        <v>18377.4532</v>
      </c>
      <c r="N20">
        <v>26900.699100000002</v>
      </c>
      <c r="O20">
        <v>38887.059000000001</v>
      </c>
      <c r="P20">
        <v>50953.797299999998</v>
      </c>
      <c r="Q20">
        <v>32395.992600000001</v>
      </c>
      <c r="R20">
        <v>38462.579400000002</v>
      </c>
      <c r="S20">
        <v>36391.406999999999</v>
      </c>
      <c r="T20">
        <v>27733.452600000001</v>
      </c>
      <c r="U20">
        <v>28418.5566</v>
      </c>
      <c r="V20">
        <v>33579.705900000001</v>
      </c>
      <c r="W20">
        <v>33149.786399999997</v>
      </c>
      <c r="X20">
        <v>33752.966099999998</v>
      </c>
      <c r="Y20">
        <v>31703.1116</v>
      </c>
      <c r="Z20">
        <v>40369.637300000002</v>
      </c>
      <c r="AA20">
        <v>37102.58</v>
      </c>
      <c r="AB20">
        <v>43890.114600000001</v>
      </c>
      <c r="AC20">
        <v>52215.559200000003</v>
      </c>
      <c r="AD20">
        <v>61996.258800000003</v>
      </c>
      <c r="AE20">
        <v>50966.414400000001</v>
      </c>
    </row>
    <row r="21" spans="1:31" x14ac:dyDescent="0.3">
      <c r="A21" s="4" t="s">
        <v>20</v>
      </c>
      <c r="B21">
        <v>5952.8720680807501</v>
      </c>
      <c r="C21">
        <v>7149.6104963387797</v>
      </c>
      <c r="D21">
        <v>8935.2531325029595</v>
      </c>
      <c r="E21">
        <v>10727.2562179089</v>
      </c>
      <c r="F21">
        <v>22307.4</v>
      </c>
      <c r="G21">
        <v>37805.229312887197</v>
      </c>
      <c r="H21">
        <v>67167.107621855699</v>
      </c>
      <c r="I21">
        <v>90034.710217390399</v>
      </c>
      <c r="J21">
        <v>65741.454799999803</v>
      </c>
      <c r="K21">
        <v>53181.674400000004</v>
      </c>
      <c r="L21">
        <v>80975.982000000004</v>
      </c>
      <c r="M21">
        <v>110302.85799999999</v>
      </c>
      <c r="N21">
        <v>129330.511</v>
      </c>
      <c r="O21">
        <v>187137.79800000001</v>
      </c>
      <c r="P21">
        <v>210239.43359999999</v>
      </c>
      <c r="Q21">
        <v>94831.829700000104</v>
      </c>
      <c r="R21">
        <v>124248.8688</v>
      </c>
      <c r="S21">
        <v>137724.8064</v>
      </c>
      <c r="T21">
        <v>113894.2536</v>
      </c>
      <c r="U21">
        <v>137877.29999999999</v>
      </c>
      <c r="V21">
        <v>191545.9572</v>
      </c>
      <c r="W21">
        <v>212338.80540000001</v>
      </c>
      <c r="X21">
        <v>244479.5607</v>
      </c>
      <c r="Y21">
        <v>246851.24619999999</v>
      </c>
      <c r="Z21">
        <v>355786.7366</v>
      </c>
      <c r="AA21">
        <v>333545.37</v>
      </c>
      <c r="AB21">
        <v>395230.0944</v>
      </c>
      <c r="AC21">
        <v>480940.98430000001</v>
      </c>
      <c r="AD21">
        <v>562072.00419999997</v>
      </c>
      <c r="AE21">
        <v>428175.90399999998</v>
      </c>
    </row>
    <row r="22" spans="1:31" x14ac:dyDescent="0.3">
      <c r="A22" s="4" t="s">
        <v>21</v>
      </c>
      <c r="B22">
        <v>15053.892936713401</v>
      </c>
      <c r="C22">
        <v>18226.898076794201</v>
      </c>
      <c r="D22">
        <v>29737.766964044298</v>
      </c>
      <c r="E22">
        <v>38858.972493086898</v>
      </c>
      <c r="F22">
        <v>51247.937031864902</v>
      </c>
      <c r="G22">
        <v>71207.046272174703</v>
      </c>
      <c r="H22">
        <v>109726.803519062</v>
      </c>
      <c r="I22">
        <v>98469.008914525402</v>
      </c>
      <c r="J22">
        <v>105050.57417389299</v>
      </c>
      <c r="K22">
        <v>94902.322946175598</v>
      </c>
      <c r="L22">
        <v>142560.09013520301</v>
      </c>
      <c r="M22">
        <v>179243.49166994201</v>
      </c>
      <c r="N22">
        <v>202216.40028146401</v>
      </c>
      <c r="O22">
        <v>259638.861371715</v>
      </c>
      <c r="P22">
        <v>311405.29499812901</v>
      </c>
      <c r="Q22">
        <v>184631.27032494301</v>
      </c>
      <c r="R22">
        <v>279631.98201362998</v>
      </c>
      <c r="S22">
        <v>333881.693667377</v>
      </c>
      <c r="T22">
        <v>295771.44765306299</v>
      </c>
      <c r="U22">
        <v>339831.50126835302</v>
      </c>
      <c r="V22">
        <v>433773.62308913702</v>
      </c>
      <c r="W22">
        <v>417196.95990486798</v>
      </c>
      <c r="X22">
        <v>413356.672353331</v>
      </c>
      <c r="Y22">
        <v>416552.603120655</v>
      </c>
      <c r="Z22">
        <v>528877.68031189102</v>
      </c>
      <c r="AA22">
        <v>481630.26730086398</v>
      </c>
      <c r="AB22">
        <v>578584.62464916694</v>
      </c>
      <c r="AC22">
        <v>703487.86870811495</v>
      </c>
      <c r="AD22">
        <v>818710.01648576604</v>
      </c>
      <c r="AE22">
        <v>638114.852358712</v>
      </c>
    </row>
    <row r="23" spans="1:31" x14ac:dyDescent="0.3">
      <c r="A23" s="4" t="s">
        <v>22</v>
      </c>
      <c r="B23">
        <v>88919.161879013205</v>
      </c>
      <c r="C23">
        <v>100796.797560046</v>
      </c>
      <c r="D23">
        <v>120543.242068666</v>
      </c>
      <c r="E23">
        <v>138922.60843731399</v>
      </c>
      <c r="F23">
        <v>165437.77915206499</v>
      </c>
      <c r="G23">
        <v>209630.095895387</v>
      </c>
      <c r="H23">
        <v>259995.03375844</v>
      </c>
      <c r="I23">
        <v>267273.94378246297</v>
      </c>
      <c r="J23">
        <v>243702.65426578399</v>
      </c>
      <c r="K23">
        <v>218272.085376406</v>
      </c>
      <c r="L23">
        <v>293656.20179481001</v>
      </c>
      <c r="M23">
        <v>339470.047720042</v>
      </c>
      <c r="N23">
        <v>357349.11740089802</v>
      </c>
      <c r="O23">
        <v>421497.05154470197</v>
      </c>
      <c r="P23">
        <v>511291.80186583701</v>
      </c>
      <c r="Q23">
        <v>318468.276769766</v>
      </c>
      <c r="R23">
        <v>398894.33187772898</v>
      </c>
      <c r="S23">
        <v>441373.90698169399</v>
      </c>
      <c r="T23">
        <v>425985.63503029</v>
      </c>
      <c r="U23">
        <v>485698.77481998701</v>
      </c>
      <c r="V23">
        <v>573235.59282108804</v>
      </c>
      <c r="W23">
        <v>573919.76573360304</v>
      </c>
      <c r="X23">
        <v>578259.572584679</v>
      </c>
      <c r="Y23">
        <v>616705.12489219103</v>
      </c>
      <c r="Z23">
        <v>743022.20267513802</v>
      </c>
      <c r="AA23">
        <v>676057.35802201799</v>
      </c>
      <c r="AB23">
        <v>794844.95967100398</v>
      </c>
      <c r="AC23">
        <v>945893.63248785096</v>
      </c>
      <c r="AD23">
        <v>1074378.6772902</v>
      </c>
      <c r="AE23">
        <v>908437.08051907504</v>
      </c>
    </row>
    <row r="24" spans="1:31" x14ac:dyDescent="0.3">
      <c r="A24" s="4" t="s">
        <v>23</v>
      </c>
      <c r="B24">
        <v>636.57163455561101</v>
      </c>
      <c r="C24">
        <v>649.79427388363001</v>
      </c>
      <c r="D24">
        <v>840.79820704014503</v>
      </c>
      <c r="E24">
        <v>925.395227204344</v>
      </c>
      <c r="F24">
        <v>1096.51823467228</v>
      </c>
      <c r="G24">
        <v>1338.03800869576</v>
      </c>
      <c r="H24">
        <v>1725.55494302238</v>
      </c>
      <c r="I24">
        <v>1495.50398346528</v>
      </c>
      <c r="J24">
        <v>1271.46661874557</v>
      </c>
      <c r="K24">
        <v>1048.38733959717</v>
      </c>
      <c r="L24">
        <v>1419.1623050119199</v>
      </c>
      <c r="M24">
        <v>1635.35397026492</v>
      </c>
      <c r="N24">
        <v>1779.67408315424</v>
      </c>
      <c r="O24">
        <v>2113.9284080961202</v>
      </c>
      <c r="P24">
        <v>2317.7836569648698</v>
      </c>
      <c r="Q24">
        <v>1308.66367688792</v>
      </c>
      <c r="R24">
        <v>1721.07582950389</v>
      </c>
      <c r="S24">
        <v>1900.41120097467</v>
      </c>
      <c r="T24">
        <v>1721.5762298344</v>
      </c>
      <c r="U24">
        <v>1952.79039523809</v>
      </c>
      <c r="V24">
        <v>2367.9830590716001</v>
      </c>
      <c r="W24">
        <v>2471.2111847881702</v>
      </c>
      <c r="X24">
        <v>2442.5879844456899</v>
      </c>
      <c r="Y24">
        <v>2224.04515575607</v>
      </c>
      <c r="Z24">
        <v>2815.2797318266598</v>
      </c>
      <c r="AA24">
        <v>2354.5072933501701</v>
      </c>
      <c r="AB24">
        <v>2950.2904588226202</v>
      </c>
      <c r="AC24">
        <v>3657.55407241681</v>
      </c>
      <c r="AD24">
        <v>4277.0384250155503</v>
      </c>
      <c r="AE24">
        <v>3224.8327221343102</v>
      </c>
    </row>
    <row r="25" spans="1:31" x14ac:dyDescent="0.3">
      <c r="A25" s="4" t="s">
        <v>24</v>
      </c>
      <c r="B25">
        <v>287395.7548</v>
      </c>
      <c r="C25">
        <v>291917.1875</v>
      </c>
      <c r="D25">
        <v>336303.5</v>
      </c>
      <c r="E25">
        <v>404674.152</v>
      </c>
      <c r="F25">
        <v>466938.85340000002</v>
      </c>
      <c r="G25">
        <v>505148.391</v>
      </c>
      <c r="H25">
        <v>675262.41480000096</v>
      </c>
      <c r="I25">
        <v>617132.13840000005</v>
      </c>
      <c r="J25">
        <v>585288.61439999996</v>
      </c>
      <c r="K25">
        <v>577640.10759999999</v>
      </c>
      <c r="L25">
        <v>753141.61529999902</v>
      </c>
      <c r="M25">
        <v>997195.33979999903</v>
      </c>
      <c r="N25">
        <v>1244888.9306000001</v>
      </c>
      <c r="O25">
        <v>1645798.83</v>
      </c>
      <c r="P25">
        <v>1872035.0586000001</v>
      </c>
      <c r="Q25">
        <v>1051094.2091999999</v>
      </c>
      <c r="R25">
        <v>1420358.1825000001</v>
      </c>
      <c r="S25">
        <v>1549605.4785</v>
      </c>
      <c r="T25">
        <v>1383795.0603</v>
      </c>
      <c r="U25">
        <v>1682361.03</v>
      </c>
      <c r="V25">
        <v>1991738.7279999999</v>
      </c>
      <c r="W25">
        <v>2034485.6311999999</v>
      </c>
      <c r="X25">
        <v>1956570.3528</v>
      </c>
      <c r="Y25">
        <v>1880615.3514</v>
      </c>
      <c r="Z25">
        <v>2420312.2927000001</v>
      </c>
      <c r="AA25">
        <v>2024449.821</v>
      </c>
      <c r="AB25">
        <v>2407998.63325</v>
      </c>
      <c r="AC25">
        <v>2700934.6979999999</v>
      </c>
      <c r="AD25">
        <v>3009676.7862</v>
      </c>
      <c r="AE25">
        <v>2281850.0236</v>
      </c>
    </row>
    <row r="26" spans="1:31" x14ac:dyDescent="0.3">
      <c r="A26" s="4" t="s">
        <v>25</v>
      </c>
      <c r="B26">
        <v>543862</v>
      </c>
      <c r="C26">
        <v>626762</v>
      </c>
      <c r="D26">
        <v>790615</v>
      </c>
      <c r="E26">
        <v>1006135</v>
      </c>
      <c r="F26">
        <v>1207787</v>
      </c>
      <c r="G26">
        <v>1474983</v>
      </c>
      <c r="H26">
        <v>2003716</v>
      </c>
      <c r="I26">
        <v>1852842</v>
      </c>
      <c r="J26">
        <v>1612673</v>
      </c>
      <c r="K26">
        <v>1373980</v>
      </c>
      <c r="L26">
        <v>2079422</v>
      </c>
      <c r="M26">
        <v>2560418</v>
      </c>
      <c r="N26">
        <v>3317705</v>
      </c>
      <c r="O26">
        <v>4328960</v>
      </c>
      <c r="P26">
        <v>5247990</v>
      </c>
      <c r="Q26">
        <v>2748428</v>
      </c>
      <c r="R26">
        <v>3995295</v>
      </c>
      <c r="S26">
        <v>4900246</v>
      </c>
      <c r="T26">
        <v>4501438</v>
      </c>
      <c r="U26">
        <v>5321857</v>
      </c>
      <c r="V26">
        <v>6472877</v>
      </c>
      <c r="W26">
        <v>6770629</v>
      </c>
      <c r="X26">
        <v>6756163</v>
      </c>
      <c r="Y26">
        <v>7146320</v>
      </c>
      <c r="Z26">
        <v>9118138</v>
      </c>
      <c r="AA26">
        <v>7899563</v>
      </c>
      <c r="AB26">
        <v>9478014</v>
      </c>
      <c r="AC26">
        <v>10615016</v>
      </c>
      <c r="AD26">
        <v>12061294</v>
      </c>
      <c r="AE26">
        <v>10305962</v>
      </c>
    </row>
  </sheetData>
  <mergeCells count="10">
    <mergeCell ref="AC1:AE1"/>
    <mergeCell ref="B1:D1"/>
    <mergeCell ref="E1:G1"/>
    <mergeCell ref="H1:J1"/>
    <mergeCell ref="K1:M1"/>
    <mergeCell ref="N1:P1"/>
    <mergeCell ref="Q1:S1"/>
    <mergeCell ref="T1:V1"/>
    <mergeCell ref="W1:Y1"/>
    <mergeCell ref="Z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3B0B-DDED-4C9A-B43C-B5DE8A27E64D}">
  <dimension ref="A1:AE26"/>
  <sheetViews>
    <sheetView workbookViewId="0">
      <selection activeCell="S25" sqref="S25"/>
    </sheetView>
  </sheetViews>
  <sheetFormatPr defaultRowHeight="14.4" x14ac:dyDescent="0.3"/>
  <cols>
    <col min="1" max="1" width="14.6640625" bestFit="1" customWidth="1"/>
  </cols>
  <sheetData>
    <row r="1" spans="1:31" x14ac:dyDescent="0.3">
      <c r="A1" s="2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27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ht="31.8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  <c r="T2" s="3">
        <v>2011</v>
      </c>
      <c r="U2" s="3">
        <v>2012</v>
      </c>
      <c r="V2" s="3">
        <v>2013</v>
      </c>
      <c r="W2" s="3">
        <v>2014</v>
      </c>
      <c r="X2" s="3">
        <v>2015</v>
      </c>
      <c r="Y2" s="3">
        <v>2016</v>
      </c>
      <c r="Z2" s="3">
        <v>2017</v>
      </c>
      <c r="AA2" s="3">
        <v>2018</v>
      </c>
      <c r="AB2" s="3">
        <v>2019</v>
      </c>
      <c r="AC2" s="3">
        <v>2020</v>
      </c>
      <c r="AD2" s="3">
        <v>2021</v>
      </c>
      <c r="AE2" s="3">
        <v>2022</v>
      </c>
    </row>
    <row r="3" spans="1:31" x14ac:dyDescent="0.3">
      <c r="A3" s="4" t="s">
        <v>2</v>
      </c>
      <c r="B3">
        <v>26138.768400000001</v>
      </c>
      <c r="C3">
        <v>28053.35447772</v>
      </c>
      <c r="D3">
        <v>33098.114999999998</v>
      </c>
      <c r="E3">
        <v>41645.803705740203</v>
      </c>
      <c r="F3">
        <v>46181.136507539901</v>
      </c>
      <c r="G3">
        <v>48065.915182960103</v>
      </c>
      <c r="H3">
        <v>56233.991799999902</v>
      </c>
      <c r="I3">
        <v>58248.114000000001</v>
      </c>
      <c r="J3">
        <v>58008.244800000102</v>
      </c>
      <c r="K3">
        <v>72792.370599999893</v>
      </c>
      <c r="L3">
        <v>99926.250000000306</v>
      </c>
      <c r="M3">
        <v>127040.099</v>
      </c>
      <c r="N3">
        <v>157851.88649999999</v>
      </c>
      <c r="O3">
        <v>217230.8412</v>
      </c>
      <c r="P3">
        <v>277487.126400001</v>
      </c>
      <c r="Q3">
        <v>255428.43200000099</v>
      </c>
      <c r="R3">
        <v>348938.94499999902</v>
      </c>
      <c r="S3">
        <v>427494.39939999999</v>
      </c>
      <c r="T3">
        <v>460154.14159999997</v>
      </c>
      <c r="U3">
        <v>514079.83500000002</v>
      </c>
      <c r="V3">
        <v>512353.56149999902</v>
      </c>
      <c r="W3">
        <v>527894.66339999996</v>
      </c>
      <c r="X3">
        <v>562039.62100000202</v>
      </c>
      <c r="Y3">
        <v>562939.81560000102</v>
      </c>
      <c r="Z3">
        <v>597499.50000000105</v>
      </c>
      <c r="AA3">
        <v>580068.78800000099</v>
      </c>
      <c r="AB3">
        <v>589035.75539999898</v>
      </c>
      <c r="AC3">
        <v>640523.73660000204</v>
      </c>
      <c r="AD3">
        <v>636264.85360000096</v>
      </c>
      <c r="AE3">
        <v>629815.51750000101</v>
      </c>
    </row>
    <row r="4" spans="1:31" x14ac:dyDescent="0.3">
      <c r="A4" s="4" t="s">
        <v>3</v>
      </c>
      <c r="B4">
        <v>88487.194268302701</v>
      </c>
      <c r="C4">
        <v>99772.084966724404</v>
      </c>
      <c r="D4">
        <v>116574.147501983</v>
      </c>
      <c r="E4">
        <v>116578.418842432</v>
      </c>
      <c r="F4">
        <v>117402.200585767</v>
      </c>
      <c r="G4">
        <v>132481.68894185801</v>
      </c>
      <c r="H4">
        <v>157599.03604000001</v>
      </c>
      <c r="I4">
        <v>174967.12580000001</v>
      </c>
      <c r="J4">
        <v>191173.720063432</v>
      </c>
      <c r="K4">
        <v>247000.38230530801</v>
      </c>
      <c r="L4">
        <v>327260.91466694401</v>
      </c>
      <c r="M4">
        <v>409582.11436044</v>
      </c>
      <c r="N4">
        <v>428661.97192805202</v>
      </c>
      <c r="O4">
        <v>575513.196</v>
      </c>
      <c r="P4">
        <v>701683.82550000097</v>
      </c>
      <c r="Q4">
        <v>694587.72809999995</v>
      </c>
      <c r="R4">
        <v>699033.86280000105</v>
      </c>
      <c r="S4">
        <v>636132.75120000006</v>
      </c>
      <c r="T4">
        <v>635403.23640000005</v>
      </c>
      <c r="U4">
        <v>641996.29079999996</v>
      </c>
      <c r="V4">
        <v>655497.26280000003</v>
      </c>
      <c r="W4">
        <v>576676.86029999994</v>
      </c>
      <c r="X4">
        <v>495064.55099999998</v>
      </c>
      <c r="Y4">
        <v>464116.01360000001</v>
      </c>
      <c r="Z4">
        <v>522925.98180000001</v>
      </c>
      <c r="AA4">
        <v>499839.44500000001</v>
      </c>
      <c r="AB4">
        <v>520661.07459999999</v>
      </c>
      <c r="AC4">
        <v>571165.96600000001</v>
      </c>
      <c r="AD4">
        <v>542522.19559999998</v>
      </c>
      <c r="AE4">
        <v>512408.50579999998</v>
      </c>
    </row>
    <row r="5" spans="1:31" x14ac:dyDescent="0.3">
      <c r="A5" s="4" t="s">
        <v>4</v>
      </c>
      <c r="B5">
        <v>324619.21905289398</v>
      </c>
      <c r="C5">
        <v>380651.74715351401</v>
      </c>
      <c r="D5">
        <v>433460.58133605297</v>
      </c>
      <c r="E5">
        <v>433144.66489611001</v>
      </c>
      <c r="F5">
        <v>425554.63163597003</v>
      </c>
      <c r="G5">
        <v>450961.749266078</v>
      </c>
      <c r="H5">
        <v>468771.47499999998</v>
      </c>
      <c r="I5">
        <v>436784.14399999997</v>
      </c>
      <c r="J5">
        <v>459931.96269999899</v>
      </c>
      <c r="K5">
        <v>575445.8101</v>
      </c>
      <c r="L5">
        <v>768175.54500000004</v>
      </c>
      <c r="M5">
        <v>943412.25360000005</v>
      </c>
      <c r="N5">
        <v>959219.96849999996</v>
      </c>
      <c r="O5">
        <v>1138815.1680000001</v>
      </c>
      <c r="P5">
        <v>1479354.5088</v>
      </c>
      <c r="Q5">
        <v>1400217.2039999999</v>
      </c>
      <c r="R5">
        <v>1366985.34</v>
      </c>
      <c r="S5">
        <v>1225052.2116</v>
      </c>
      <c r="T5">
        <v>1229933.4657000001</v>
      </c>
      <c r="U5">
        <v>1158856.7274</v>
      </c>
      <c r="V5">
        <v>1066158.7653000001</v>
      </c>
      <c r="W5">
        <v>983476.84860000003</v>
      </c>
      <c r="X5">
        <v>880277.09459999995</v>
      </c>
      <c r="Y5">
        <v>899150.46230000001</v>
      </c>
      <c r="Z5">
        <v>948834.59010000003</v>
      </c>
      <c r="AA5">
        <v>853568.875</v>
      </c>
      <c r="AB5">
        <v>886542.34400000004</v>
      </c>
      <c r="AC5">
        <v>984818.92180000001</v>
      </c>
      <c r="AD5">
        <v>936878.79180000105</v>
      </c>
      <c r="AE5">
        <v>884435.38600000006</v>
      </c>
    </row>
    <row r="6" spans="1:31" x14ac:dyDescent="0.3">
      <c r="A6" s="4" t="s">
        <v>5</v>
      </c>
      <c r="B6">
        <v>100141.66270174801</v>
      </c>
      <c r="C6">
        <v>117441.25621665</v>
      </c>
      <c r="D6">
        <v>136800.222230643</v>
      </c>
      <c r="E6">
        <v>152605.29123441401</v>
      </c>
      <c r="F6">
        <v>163079.886491135</v>
      </c>
      <c r="G6">
        <v>160368.16271656501</v>
      </c>
      <c r="H6">
        <v>150871.175897596</v>
      </c>
      <c r="I6">
        <v>154029.39750262501</v>
      </c>
      <c r="J6">
        <v>159645.58762150901</v>
      </c>
      <c r="K6">
        <v>165005.06231276999</v>
      </c>
      <c r="L6">
        <v>193738.68251032699</v>
      </c>
      <c r="M6">
        <v>227670.362500599</v>
      </c>
      <c r="N6">
        <v>272482.52774722798</v>
      </c>
      <c r="O6">
        <v>352961.73012126097</v>
      </c>
      <c r="P6">
        <v>448896.77397708601</v>
      </c>
      <c r="Q6">
        <v>431263.48568678199</v>
      </c>
      <c r="R6">
        <v>502999.98013401899</v>
      </c>
      <c r="S6">
        <v>563581.23979272798</v>
      </c>
      <c r="T6">
        <v>602639.26063066896</v>
      </c>
      <c r="U6">
        <v>667458.87494501995</v>
      </c>
      <c r="V6">
        <v>669767.20328986505</v>
      </c>
      <c r="W6">
        <v>733082.75865511596</v>
      </c>
      <c r="X6">
        <v>768649.77649580897</v>
      </c>
      <c r="Y6">
        <v>856410.86024331604</v>
      </c>
      <c r="Z6">
        <v>940679.25727955403</v>
      </c>
      <c r="AA6">
        <v>1018184.00497903</v>
      </c>
      <c r="AB6">
        <v>1287955.81908033</v>
      </c>
      <c r="AC6">
        <v>1410389.79947161</v>
      </c>
      <c r="AD6">
        <v>1468070.60812553</v>
      </c>
      <c r="AE6">
        <v>1619566.3348417999</v>
      </c>
    </row>
    <row r="7" spans="1:31" x14ac:dyDescent="0.3">
      <c r="A7" s="4" t="s">
        <v>6</v>
      </c>
      <c r="B7">
        <v>77076.4119601329</v>
      </c>
      <c r="C7">
        <v>71181.982574387599</v>
      </c>
      <c r="D7">
        <v>75549.945906959998</v>
      </c>
      <c r="E7">
        <v>87307.595256119093</v>
      </c>
      <c r="F7">
        <v>86580.720773513094</v>
      </c>
      <c r="G7">
        <v>101591.638612699</v>
      </c>
      <c r="H7">
        <v>92683.948748445706</v>
      </c>
      <c r="I7">
        <v>97502.150738732002</v>
      </c>
      <c r="J7">
        <v>97689.7150703566</v>
      </c>
      <c r="K7">
        <v>127061.194512948</v>
      </c>
      <c r="L7">
        <v>176731.08639960099</v>
      </c>
      <c r="M7">
        <v>220596.33305307999</v>
      </c>
      <c r="N7">
        <v>232955.36123717201</v>
      </c>
      <c r="O7">
        <v>280065.17822446697</v>
      </c>
      <c r="P7">
        <v>369626.42602407699</v>
      </c>
      <c r="Q7">
        <v>372857.95379288198</v>
      </c>
      <c r="R7">
        <v>364452.130016763</v>
      </c>
      <c r="S7">
        <v>381430.53106016101</v>
      </c>
      <c r="T7">
        <v>360886.243386243</v>
      </c>
      <c r="U7">
        <v>386395.3632203</v>
      </c>
      <c r="V7">
        <v>415542.88987011998</v>
      </c>
      <c r="W7">
        <v>397260.75734309101</v>
      </c>
      <c r="X7">
        <v>346554.319180088</v>
      </c>
      <c r="Y7">
        <v>368323.219147005</v>
      </c>
      <c r="Z7">
        <v>430470.38355590601</v>
      </c>
      <c r="AA7">
        <v>373999.90796699101</v>
      </c>
      <c r="AB7">
        <v>411131.98220464698</v>
      </c>
      <c r="AC7">
        <v>491106.04860010598</v>
      </c>
      <c r="AD7">
        <v>463041.51679570798</v>
      </c>
      <c r="AE7">
        <v>404780.70049625699</v>
      </c>
    </row>
    <row r="8" spans="1:31" x14ac:dyDescent="0.3">
      <c r="A8" s="4" t="s">
        <v>7</v>
      </c>
      <c r="B8">
        <v>25487.0775347913</v>
      </c>
      <c r="C8">
        <v>27393.320964749499</v>
      </c>
      <c r="D8">
        <v>30987.9319047401</v>
      </c>
      <c r="E8">
        <v>38321.884622838501</v>
      </c>
      <c r="F8">
        <v>37798.8082719944</v>
      </c>
      <c r="G8">
        <v>41238.422291993702</v>
      </c>
      <c r="H8">
        <v>50299.3174</v>
      </c>
      <c r="I8">
        <v>64498.538</v>
      </c>
      <c r="J8">
        <v>78155.446599999806</v>
      </c>
      <c r="K8">
        <v>100101.110159</v>
      </c>
      <c r="L8">
        <v>137628.61743000001</v>
      </c>
      <c r="M8">
        <v>179332.519585</v>
      </c>
      <c r="N8">
        <v>170366.705816</v>
      </c>
      <c r="O8">
        <v>221463.40116000001</v>
      </c>
      <c r="P8">
        <v>263065.55072699999</v>
      </c>
      <c r="Q8">
        <v>258443.24085900001</v>
      </c>
      <c r="R8">
        <v>305137.57730399998</v>
      </c>
      <c r="S8">
        <v>339007.38217200001</v>
      </c>
      <c r="T8">
        <v>407586.03049799998</v>
      </c>
      <c r="U8">
        <v>436804.41664800001</v>
      </c>
      <c r="V8">
        <v>413356.26390000002</v>
      </c>
      <c r="W8">
        <v>379844.54009999998</v>
      </c>
      <c r="X8">
        <v>345345.43829999998</v>
      </c>
      <c r="Y8">
        <v>307568.46029999998</v>
      </c>
      <c r="Z8">
        <v>305190.66820000001</v>
      </c>
      <c r="AA8">
        <v>397979.1</v>
      </c>
      <c r="AB8">
        <v>401951.39659999998</v>
      </c>
      <c r="AC8">
        <v>426375.52860000002</v>
      </c>
      <c r="AD8">
        <v>377410.63500000001</v>
      </c>
      <c r="AE8">
        <v>387974.68339999998</v>
      </c>
    </row>
    <row r="9" spans="1:31" x14ac:dyDescent="0.3">
      <c r="A9" s="4" t="s">
        <v>8</v>
      </c>
      <c r="B9">
        <v>661604.61368840595</v>
      </c>
      <c r="C9">
        <v>764904.60157126805</v>
      </c>
      <c r="D9">
        <v>859826.53061224497</v>
      </c>
      <c r="E9">
        <v>834072.94252434606</v>
      </c>
      <c r="F9">
        <v>902324.61047744704</v>
      </c>
      <c r="G9">
        <v>1016148.77003255</v>
      </c>
      <c r="H9">
        <v>1042245.8760908</v>
      </c>
      <c r="I9">
        <v>1077138.2701065</v>
      </c>
      <c r="J9">
        <v>1206508.0018460001</v>
      </c>
      <c r="K9">
        <v>1521666.6332139</v>
      </c>
      <c r="L9">
        <v>1926305.5353900001</v>
      </c>
      <c r="M9">
        <v>2389202.8839834002</v>
      </c>
      <c r="N9">
        <v>2589121.223247</v>
      </c>
      <c r="O9">
        <v>3240223.3028632202</v>
      </c>
      <c r="P9">
        <v>4157506.56856331</v>
      </c>
      <c r="Q9">
        <v>3977795.2043329799</v>
      </c>
      <c r="R9">
        <v>4229386.1431589704</v>
      </c>
      <c r="S9">
        <v>4200082.86193641</v>
      </c>
      <c r="T9">
        <v>4007022.4843830001</v>
      </c>
      <c r="U9">
        <v>4098596.0345999999</v>
      </c>
      <c r="V9">
        <v>4233474.2966999998</v>
      </c>
      <c r="W9">
        <v>4060829.4084000001</v>
      </c>
      <c r="X9">
        <v>3697489.7541</v>
      </c>
      <c r="Y9">
        <v>3691708.7595700002</v>
      </c>
      <c r="Z9">
        <v>4210994.39286</v>
      </c>
      <c r="AA9">
        <v>4416991.2735000001</v>
      </c>
      <c r="AB9">
        <v>4703592.5560600003</v>
      </c>
      <c r="AC9">
        <v>5533484.7400000002</v>
      </c>
      <c r="AD9">
        <v>5366136.81898</v>
      </c>
      <c r="AE9">
        <v>5130016.3139399998</v>
      </c>
    </row>
    <row r="10" spans="1:31" x14ac:dyDescent="0.3">
      <c r="A10" s="4" t="s">
        <v>9</v>
      </c>
      <c r="B10">
        <v>943696.92405723198</v>
      </c>
      <c r="C10">
        <v>1024490.57334711</v>
      </c>
      <c r="D10">
        <v>1179105.68538542</v>
      </c>
      <c r="E10">
        <v>1185145.9994854601</v>
      </c>
      <c r="F10">
        <v>1140963.67390213</v>
      </c>
      <c r="G10">
        <v>1393041.84100418</v>
      </c>
      <c r="H10">
        <v>1457271.7553999999</v>
      </c>
      <c r="I10">
        <v>1512242.0865</v>
      </c>
      <c r="J10">
        <v>1645212.6026000001</v>
      </c>
      <c r="K10">
        <v>2094684.9157</v>
      </c>
      <c r="L10">
        <v>2699701.6529999999</v>
      </c>
      <c r="M10">
        <v>3212139.6346</v>
      </c>
      <c r="N10">
        <v>3145739.6523000002</v>
      </c>
      <c r="O10">
        <v>4013889.3840000001</v>
      </c>
      <c r="P10">
        <v>5040788.3735999996</v>
      </c>
      <c r="Q10">
        <v>4909145.2065000003</v>
      </c>
      <c r="R10">
        <v>5060879.6616000002</v>
      </c>
      <c r="S10">
        <v>5100371.6063999999</v>
      </c>
      <c r="T10">
        <v>5094966.7397999996</v>
      </c>
      <c r="U10">
        <v>5448611.3921999997</v>
      </c>
      <c r="V10">
        <v>5502871.0290000001</v>
      </c>
      <c r="W10">
        <v>5213522.6585999997</v>
      </c>
      <c r="X10">
        <v>4784533.8414000003</v>
      </c>
      <c r="Y10">
        <v>4898735.7955999998</v>
      </c>
      <c r="Z10">
        <v>5725828.7836999996</v>
      </c>
      <c r="AA10">
        <v>5681178.5599999996</v>
      </c>
      <c r="AB10">
        <v>5792206.5873999996</v>
      </c>
      <c r="AC10">
        <v>6790355.4130999995</v>
      </c>
      <c r="AD10">
        <v>6673967.8207999999</v>
      </c>
      <c r="AE10">
        <v>6078754.9874</v>
      </c>
    </row>
    <row r="11" spans="1:31" x14ac:dyDescent="0.3">
      <c r="A11" s="4" t="s">
        <v>10</v>
      </c>
      <c r="B11">
        <v>19082.0901604551</v>
      </c>
      <c r="C11">
        <v>26281.7562328438</v>
      </c>
      <c r="D11">
        <v>33398.120383733803</v>
      </c>
      <c r="E11">
        <v>41127.3486713643</v>
      </c>
      <c r="F11">
        <v>40491.874013074099</v>
      </c>
      <c r="G11">
        <v>42052</v>
      </c>
      <c r="H11">
        <v>43991.434000000001</v>
      </c>
      <c r="I11">
        <v>37728.983500000002</v>
      </c>
      <c r="J11">
        <v>43916.060299999903</v>
      </c>
      <c r="K11">
        <v>62865.240150947102</v>
      </c>
      <c r="L11">
        <v>91890.702462174595</v>
      </c>
      <c r="M11">
        <v>117944.63281803799</v>
      </c>
      <c r="N11">
        <v>130944.954640342</v>
      </c>
      <c r="O11">
        <v>161107.62727509101</v>
      </c>
      <c r="P11">
        <v>228234.61610804099</v>
      </c>
      <c r="Q11">
        <v>260456.50053506499</v>
      </c>
      <c r="R11">
        <v>304147.55019752699</v>
      </c>
      <c r="S11">
        <v>245937.02189505601</v>
      </c>
      <c r="T11">
        <v>233385.803117998</v>
      </c>
      <c r="U11">
        <v>281337.042901796</v>
      </c>
      <c r="V11">
        <v>258422.396699278</v>
      </c>
      <c r="W11">
        <v>225626.247369013</v>
      </c>
      <c r="X11">
        <v>213715.428119994</v>
      </c>
      <c r="Y11">
        <v>199731.358533463</v>
      </c>
      <c r="Z11">
        <v>190794.591825707</v>
      </c>
      <c r="AA11">
        <v>180693.08478755099</v>
      </c>
      <c r="AB11">
        <v>210626.218257453</v>
      </c>
      <c r="AC11">
        <v>272803.479469818</v>
      </c>
      <c r="AD11">
        <v>290163.11065178498</v>
      </c>
      <c r="AE11">
        <v>278647.26204855199</v>
      </c>
    </row>
    <row r="12" spans="1:31" x14ac:dyDescent="0.3">
      <c r="A12" s="4" t="s">
        <v>11</v>
      </c>
      <c r="B12">
        <v>219.702602230483</v>
      </c>
      <c r="C12">
        <v>318.355079900308</v>
      </c>
      <c r="D12">
        <v>297.133220910624</v>
      </c>
      <c r="E12">
        <v>331.30512782179699</v>
      </c>
      <c r="F12">
        <v>408.36796896647297</v>
      </c>
      <c r="G12">
        <v>514.71436814772096</v>
      </c>
      <c r="H12">
        <v>688.03583735354903</v>
      </c>
      <c r="I12">
        <v>588.42975206611595</v>
      </c>
      <c r="J12">
        <v>966.61486158329296</v>
      </c>
      <c r="K12">
        <v>1625.3412757508099</v>
      </c>
      <c r="L12">
        <v>4150.2324271024099</v>
      </c>
      <c r="M12">
        <v>8432.8145478374809</v>
      </c>
      <c r="N12">
        <v>19573.134328358199</v>
      </c>
      <c r="O12">
        <v>36387.175551214103</v>
      </c>
      <c r="P12">
        <v>60770.897332255503</v>
      </c>
      <c r="Q12">
        <v>16696.384143307401</v>
      </c>
      <c r="R12">
        <v>13847.6381104884</v>
      </c>
      <c r="S12">
        <v>14345.2151238592</v>
      </c>
      <c r="T12">
        <v>12163.450411539399</v>
      </c>
      <c r="U12">
        <v>16972.021086905999</v>
      </c>
      <c r="V12">
        <v>18314.409346603199</v>
      </c>
      <c r="W12">
        <v>14529.669030732901</v>
      </c>
      <c r="X12">
        <v>10306.8215140057</v>
      </c>
      <c r="Y12">
        <v>5749.8049991136304</v>
      </c>
      <c r="Z12">
        <v>5828.6343612334804</v>
      </c>
      <c r="AA12">
        <v>6426.1239577065298</v>
      </c>
      <c r="AB12">
        <v>5583.8398018166799</v>
      </c>
      <c r="AC12">
        <v>5928.2760789246104</v>
      </c>
      <c r="AD12">
        <v>5952.3393158459903</v>
      </c>
      <c r="AE12">
        <v>6201.05604055196</v>
      </c>
    </row>
    <row r="13" spans="1:31" x14ac:dyDescent="0.3">
      <c r="A13" s="4" t="s">
        <v>12</v>
      </c>
      <c r="B13">
        <v>40702.392779231603</v>
      </c>
      <c r="C13">
        <v>55200.338643005802</v>
      </c>
      <c r="D13">
        <v>83239.762291665204</v>
      </c>
      <c r="E13">
        <v>124466.22711998499</v>
      </c>
      <c r="F13">
        <v>197007.62714999999</v>
      </c>
      <c r="G13">
        <v>335797.65049999999</v>
      </c>
      <c r="H13">
        <v>422184.15460000001</v>
      </c>
      <c r="I13">
        <v>468654.69949999999</v>
      </c>
      <c r="J13">
        <v>561139.57339999895</v>
      </c>
      <c r="K13">
        <v>750674.14179999998</v>
      </c>
      <c r="L13">
        <v>1057107.003</v>
      </c>
      <c r="M13">
        <v>1333807.8208999999</v>
      </c>
      <c r="N13">
        <v>1484361.0641000001</v>
      </c>
      <c r="O13">
        <v>1942848.936</v>
      </c>
      <c r="P13">
        <v>2503780.0661999998</v>
      </c>
      <c r="Q13">
        <v>2390569.0161000001</v>
      </c>
      <c r="R13">
        <v>2433743.8775999998</v>
      </c>
      <c r="S13">
        <v>2325995.4948</v>
      </c>
      <c r="T13">
        <v>2496352.3235999998</v>
      </c>
      <c r="U13">
        <v>2551529.6063999999</v>
      </c>
      <c r="V13">
        <v>2629499.6298000002</v>
      </c>
      <c r="W13">
        <v>2626888.6790999998</v>
      </c>
      <c r="X13">
        <v>2670648.5994000002</v>
      </c>
      <c r="Y13">
        <v>2687101.179</v>
      </c>
      <c r="Z13">
        <v>3246054.1631999998</v>
      </c>
      <c r="AA13">
        <v>3235685.27</v>
      </c>
      <c r="AB13">
        <v>3797071.7788</v>
      </c>
      <c r="AC13">
        <v>4455046.6778999995</v>
      </c>
      <c r="AD13">
        <v>4715624.2714</v>
      </c>
      <c r="AE13">
        <v>4288070.1122000003</v>
      </c>
    </row>
    <row r="14" spans="1:31" x14ac:dyDescent="0.3">
      <c r="A14" s="4" t="s">
        <v>13</v>
      </c>
      <c r="B14">
        <v>306567.01702494803</v>
      </c>
      <c r="C14">
        <v>353603.02870396501</v>
      </c>
      <c r="D14">
        <v>414330.60729971202</v>
      </c>
      <c r="E14">
        <v>526343.16145900998</v>
      </c>
      <c r="F14">
        <v>561985.94591749297</v>
      </c>
      <c r="G14">
        <v>728571.77424233302</v>
      </c>
      <c r="H14">
        <v>626082.79359999998</v>
      </c>
      <c r="I14">
        <v>604499.32499999995</v>
      </c>
      <c r="J14">
        <v>601028.09269999794</v>
      </c>
      <c r="K14">
        <v>717320.23829999997</v>
      </c>
      <c r="L14">
        <v>934911.75300000003</v>
      </c>
      <c r="M14">
        <v>1101162.503</v>
      </c>
      <c r="N14">
        <v>1124406.2812999999</v>
      </c>
      <c r="O14">
        <v>1364273.7150000001</v>
      </c>
      <c r="P14">
        <v>1588069.0937999999</v>
      </c>
      <c r="Q14">
        <v>1396191.0159</v>
      </c>
      <c r="R14">
        <v>1462151.3759999999</v>
      </c>
      <c r="S14">
        <v>1274074.7172000001</v>
      </c>
      <c r="T14">
        <v>1237068.0303</v>
      </c>
      <c r="U14">
        <v>1245877.7544</v>
      </c>
      <c r="V14">
        <v>1216093.1381999999</v>
      </c>
      <c r="W14">
        <v>1166597.1233999999</v>
      </c>
      <c r="X14">
        <v>1070770.1997</v>
      </c>
      <c r="Y14">
        <v>1064808.6018999999</v>
      </c>
      <c r="Z14">
        <v>1265883.9367</v>
      </c>
      <c r="AA14">
        <v>1240522.77</v>
      </c>
      <c r="AB14">
        <v>1304699.909</v>
      </c>
      <c r="AC14">
        <v>1484718.6011000001</v>
      </c>
      <c r="AD14">
        <v>1435222.7918</v>
      </c>
      <c r="AE14">
        <v>1324439.8840000001</v>
      </c>
    </row>
    <row r="15" spans="1:31" x14ac:dyDescent="0.3">
      <c r="A15" s="4" t="s">
        <v>14</v>
      </c>
      <c r="B15">
        <v>1712779.6033125799</v>
      </c>
      <c r="C15">
        <v>1902514.70535537</v>
      </c>
      <c r="D15">
        <v>2060118.6424195301</v>
      </c>
      <c r="E15">
        <v>1970220.0513033201</v>
      </c>
      <c r="F15">
        <v>2010692.95418365</v>
      </c>
      <c r="G15">
        <v>2213698.8412448098</v>
      </c>
      <c r="H15">
        <v>2144476.6339694299</v>
      </c>
      <c r="I15">
        <v>2064590.62890806</v>
      </c>
      <c r="J15">
        <v>1950631.5391390801</v>
      </c>
      <c r="K15">
        <v>2066039.8905286</v>
      </c>
      <c r="L15">
        <v>2311887.1527728098</v>
      </c>
      <c r="M15">
        <v>2583491.71974923</v>
      </c>
      <c r="N15">
        <v>2626414.0628100499</v>
      </c>
      <c r="O15">
        <v>2814130.92969445</v>
      </c>
      <c r="P15">
        <v>3232790.4565179399</v>
      </c>
      <c r="Q15">
        <v>3543994.74467442</v>
      </c>
      <c r="R15">
        <v>3594408.6393989902</v>
      </c>
      <c r="S15">
        <v>4219090.2372978898</v>
      </c>
      <c r="T15">
        <v>4517248.2338326797</v>
      </c>
      <c r="U15">
        <v>4553820.2181980498</v>
      </c>
      <c r="V15">
        <v>3897656.7478137598</v>
      </c>
      <c r="W15">
        <v>3626788.22781969</v>
      </c>
      <c r="X15">
        <v>3645638.4799874499</v>
      </c>
      <c r="Y15">
        <v>4085467.2310048002</v>
      </c>
      <c r="Z15">
        <v>4186986.83815601</v>
      </c>
      <c r="AA15">
        <v>4357163.8197904304</v>
      </c>
      <c r="AB15">
        <v>4579288.5036439402</v>
      </c>
      <c r="AC15">
        <v>5171151.1225823304</v>
      </c>
      <c r="AD15">
        <v>5003346.8238029303</v>
      </c>
      <c r="AE15">
        <v>4377523.5501280501</v>
      </c>
    </row>
    <row r="16" spans="1:31" x14ac:dyDescent="0.3">
      <c r="A16" s="4" t="s">
        <v>15</v>
      </c>
      <c r="B16">
        <v>25481</v>
      </c>
      <c r="C16">
        <v>25876</v>
      </c>
      <c r="D16">
        <v>33514</v>
      </c>
      <c r="E16">
        <v>37754</v>
      </c>
      <c r="F16">
        <v>43263</v>
      </c>
      <c r="G16">
        <v>43874</v>
      </c>
      <c r="H16">
        <v>47689</v>
      </c>
      <c r="I16">
        <v>63789.097453000002</v>
      </c>
      <c r="J16">
        <v>61967.862761562101</v>
      </c>
      <c r="K16">
        <v>62224.005913633497</v>
      </c>
      <c r="L16">
        <v>63475.5862180029</v>
      </c>
      <c r="M16">
        <v>73139.876670654601</v>
      </c>
      <c r="N16">
        <v>81619.203852231396</v>
      </c>
      <c r="O16">
        <v>92800.278692284599</v>
      </c>
      <c r="P16">
        <v>112525.40898155099</v>
      </c>
      <c r="Q16">
        <v>122532.119628798</v>
      </c>
      <c r="R16">
        <v>89153.509929250693</v>
      </c>
      <c r="S16">
        <v>100996.98557280299</v>
      </c>
      <c r="T16">
        <v>97738.161166753198</v>
      </c>
      <c r="U16">
        <v>102029.10560884701</v>
      </c>
      <c r="V16">
        <v>122165.249849473</v>
      </c>
      <c r="W16">
        <v>130044.795475978</v>
      </c>
      <c r="X16">
        <v>146055.23596136901</v>
      </c>
      <c r="Y16">
        <v>159748.528111972</v>
      </c>
      <c r="Z16">
        <v>162799.60628519501</v>
      </c>
      <c r="AA16">
        <v>166047.22079320101</v>
      </c>
      <c r="AB16">
        <v>174516.20927957699</v>
      </c>
      <c r="AC16">
        <v>189972.65445751199</v>
      </c>
      <c r="AD16">
        <v>189059.67587680501</v>
      </c>
      <c r="AE16">
        <v>190155.82066188299</v>
      </c>
    </row>
    <row r="17" spans="1:31" x14ac:dyDescent="0.3">
      <c r="A17" s="4" t="s">
        <v>16</v>
      </c>
      <c r="B17">
        <v>274419.59915503103</v>
      </c>
      <c r="C17">
        <v>200071.67632989399</v>
      </c>
      <c r="D17">
        <v>339421.590625779</v>
      </c>
      <c r="E17">
        <v>355433.01215875201</v>
      </c>
      <c r="F17">
        <v>391641.87983343302</v>
      </c>
      <c r="G17">
        <v>526175.34942820796</v>
      </c>
      <c r="H17">
        <v>497993.27980000002</v>
      </c>
      <c r="I17">
        <v>529539.17550000001</v>
      </c>
      <c r="J17">
        <v>610276.45490000001</v>
      </c>
      <c r="K17">
        <v>785065.20959999994</v>
      </c>
      <c r="L17">
        <v>1130372.3700000001</v>
      </c>
      <c r="M17">
        <v>1412714.2738999999</v>
      </c>
      <c r="N17">
        <v>1462589.7006000001</v>
      </c>
      <c r="O17">
        <v>1868369.952</v>
      </c>
      <c r="P17">
        <v>2344504.7346000001</v>
      </c>
      <c r="Q17">
        <v>2068504.5855</v>
      </c>
      <c r="R17">
        <v>2138906.3598000002</v>
      </c>
      <c r="S17">
        <v>2053253.0231999999</v>
      </c>
      <c r="T17">
        <v>2121853.6710000001</v>
      </c>
      <c r="U17">
        <v>2210228.5337999999</v>
      </c>
      <c r="V17">
        <v>2219527.6773000001</v>
      </c>
      <c r="W17">
        <v>2255552.5518</v>
      </c>
      <c r="X17">
        <v>2129153.1708</v>
      </c>
      <c r="Y17">
        <v>2175386.2258000001</v>
      </c>
      <c r="Z17">
        <v>2399952.8103999998</v>
      </c>
      <c r="AA17">
        <v>2307054.7749999999</v>
      </c>
      <c r="AB17">
        <v>2404181.5995999998</v>
      </c>
      <c r="AC17">
        <v>2578539.5888</v>
      </c>
      <c r="AD17">
        <v>2516107.1431999998</v>
      </c>
      <c r="AE17">
        <v>2452768.2924000002</v>
      </c>
    </row>
    <row r="18" spans="1:31" x14ac:dyDescent="0.3">
      <c r="A18" s="4" t="s">
        <v>17</v>
      </c>
      <c r="B18">
        <v>2086.55912532</v>
      </c>
      <c r="C18">
        <v>3794.60499999999</v>
      </c>
      <c r="D18">
        <v>3398.4665999999902</v>
      </c>
      <c r="E18">
        <v>5884.51</v>
      </c>
      <c r="F18">
        <v>5732.6535000000003</v>
      </c>
      <c r="G18">
        <v>4429.6483000000098</v>
      </c>
      <c r="H18">
        <v>5746.9033999999901</v>
      </c>
      <c r="I18">
        <v>8888.0781999999999</v>
      </c>
      <c r="J18">
        <v>12996.424499999999</v>
      </c>
      <c r="K18">
        <v>17233.924500000001</v>
      </c>
      <c r="L18">
        <v>19834.75</v>
      </c>
      <c r="M18">
        <v>22110.915199999999</v>
      </c>
      <c r="N18">
        <v>16693.618600000002</v>
      </c>
      <c r="O18">
        <v>19820.260200000099</v>
      </c>
      <c r="P18">
        <v>26713.0619999999</v>
      </c>
      <c r="Q18">
        <v>20415.843499999999</v>
      </c>
      <c r="R18">
        <v>27659.1525</v>
      </c>
      <c r="S18">
        <v>36042.503199999999</v>
      </c>
      <c r="T18">
        <v>43392.566699999799</v>
      </c>
      <c r="U18">
        <v>46898.614000000001</v>
      </c>
      <c r="V18">
        <v>49040.578200000004</v>
      </c>
      <c r="W18">
        <v>52908.381999999903</v>
      </c>
      <c r="X18">
        <v>51977.004799999901</v>
      </c>
      <c r="Y18">
        <v>56603.024179499698</v>
      </c>
      <c r="Z18">
        <v>58348.474095102902</v>
      </c>
      <c r="AA18">
        <v>58807.062298603698</v>
      </c>
      <c r="AB18">
        <v>63210.533405172398</v>
      </c>
      <c r="AC18">
        <v>73494.977234949794</v>
      </c>
      <c r="AD18">
        <v>64686.752749880499</v>
      </c>
      <c r="AE18">
        <v>65759.265125118807</v>
      </c>
    </row>
    <row r="19" spans="1:31" x14ac:dyDescent="0.3">
      <c r="A19" s="4" t="s">
        <v>18</v>
      </c>
      <c r="B19">
        <v>25671.85</v>
      </c>
      <c r="C19">
        <v>33869.582144307496</v>
      </c>
      <c r="D19">
        <v>37047.097075071397</v>
      </c>
      <c r="E19">
        <v>45771.260589185898</v>
      </c>
      <c r="F19">
        <v>57147.9175022571</v>
      </c>
      <c r="G19">
        <v>62136.315789473701</v>
      </c>
      <c r="H19">
        <v>74462.964114683695</v>
      </c>
      <c r="I19">
        <v>98899.248460190996</v>
      </c>
      <c r="J19">
        <v>115648.386524036</v>
      </c>
      <c r="K19">
        <v>168051.73923654499</v>
      </c>
      <c r="L19">
        <v>219255.688622755</v>
      </c>
      <c r="M19">
        <v>266133.112582781</v>
      </c>
      <c r="N19">
        <v>299662.18611521402</v>
      </c>
      <c r="O19">
        <v>444926.03833865799</v>
      </c>
      <c r="P19">
        <v>548176.34011090605</v>
      </c>
      <c r="Q19">
        <v>508682.71428571403</v>
      </c>
      <c r="R19">
        <v>477184.77508650499</v>
      </c>
      <c r="S19">
        <v>524111.604095563</v>
      </c>
      <c r="T19">
        <v>557998.99833055097</v>
      </c>
      <c r="U19">
        <v>606186.89407540404</v>
      </c>
      <c r="V19">
        <v>657894.90131578897</v>
      </c>
      <c r="W19">
        <v>657833.51278600295</v>
      </c>
      <c r="X19">
        <v>609168.55845629994</v>
      </c>
      <c r="Y19">
        <v>616358.81670533598</v>
      </c>
      <c r="Z19">
        <v>648157.97807551804</v>
      </c>
      <c r="AA19">
        <v>617155.69620253204</v>
      </c>
      <c r="AB19">
        <v>646308.88382687897</v>
      </c>
      <c r="AC19">
        <v>703431.65298944898</v>
      </c>
      <c r="AD19">
        <v>787684.24036281195</v>
      </c>
      <c r="AE19">
        <v>840476.67342799203</v>
      </c>
    </row>
    <row r="20" spans="1:31" x14ac:dyDescent="0.3">
      <c r="A20" s="4" t="s">
        <v>19</v>
      </c>
      <c r="B20">
        <v>25328.8577328104</v>
      </c>
      <c r="C20">
        <v>37092.013567630398</v>
      </c>
      <c r="D20">
        <v>45347.399547433997</v>
      </c>
      <c r="E20">
        <v>59554.137047909797</v>
      </c>
      <c r="F20">
        <v>73143.693216329993</v>
      </c>
      <c r="G20">
        <v>92820.778969903899</v>
      </c>
      <c r="H20">
        <v>92360.914799999999</v>
      </c>
      <c r="I20">
        <v>102116.792</v>
      </c>
      <c r="J20">
        <v>112552.58560000001</v>
      </c>
      <c r="K20">
        <v>148652.17629999999</v>
      </c>
      <c r="L20">
        <v>210379.17300000001</v>
      </c>
      <c r="M20">
        <v>240254.0085</v>
      </c>
      <c r="N20">
        <v>224821.32750000001</v>
      </c>
      <c r="O20">
        <v>266442.27</v>
      </c>
      <c r="P20">
        <v>315532.85820000002</v>
      </c>
      <c r="Q20">
        <v>296934.5037</v>
      </c>
      <c r="R20">
        <v>332548.10399999999</v>
      </c>
      <c r="S20">
        <v>317676.20520000003</v>
      </c>
      <c r="T20">
        <v>273975.56160000002</v>
      </c>
      <c r="U20">
        <v>272470.61339999997</v>
      </c>
      <c r="V20">
        <v>259721.76569999999</v>
      </c>
      <c r="W20">
        <v>237910.1796</v>
      </c>
      <c r="X20">
        <v>203258.11259999999</v>
      </c>
      <c r="Y20">
        <v>193490.59599999999</v>
      </c>
      <c r="Z20">
        <v>228947.5693</v>
      </c>
      <c r="AA20">
        <v>226380.24</v>
      </c>
      <c r="AB20">
        <v>238092.2726</v>
      </c>
      <c r="AC20">
        <v>266018.10060000001</v>
      </c>
      <c r="AD20">
        <v>242779.60560000001</v>
      </c>
      <c r="AE20">
        <v>230209.611</v>
      </c>
    </row>
    <row r="21" spans="1:31" x14ac:dyDescent="0.3">
      <c r="A21" s="4" t="s">
        <v>20</v>
      </c>
      <c r="B21">
        <v>144078.64204649301</v>
      </c>
      <c r="C21">
        <v>144520.60513591301</v>
      </c>
      <c r="D21">
        <v>191410.850925384</v>
      </c>
      <c r="E21">
        <v>184383.92687107201</v>
      </c>
      <c r="F21">
        <v>181302.817365625</v>
      </c>
      <c r="G21">
        <v>247091.67481902501</v>
      </c>
      <c r="H21">
        <v>283437.84399999998</v>
      </c>
      <c r="I21">
        <v>308405.8505</v>
      </c>
      <c r="J21">
        <v>327464.64099999901</v>
      </c>
      <c r="K21">
        <v>474794.73019999999</v>
      </c>
      <c r="L21">
        <v>659604.27599999995</v>
      </c>
      <c r="M21">
        <v>795621.67940000002</v>
      </c>
      <c r="N21">
        <v>838627.49540000001</v>
      </c>
      <c r="O21">
        <v>1019260.542</v>
      </c>
      <c r="P21">
        <v>1169321.4162000001</v>
      </c>
      <c r="Q21">
        <v>1077751.9638</v>
      </c>
      <c r="R21">
        <v>1080480.2526</v>
      </c>
      <c r="S21">
        <v>900724.40280000004</v>
      </c>
      <c r="T21">
        <v>840245.72100000002</v>
      </c>
      <c r="U21">
        <v>840567.31019999995</v>
      </c>
      <c r="V21">
        <v>834999.53969999996</v>
      </c>
      <c r="W21">
        <v>798673.83120000002</v>
      </c>
      <c r="X21">
        <v>765778.51560000004</v>
      </c>
      <c r="Y21">
        <v>792700.06559999997</v>
      </c>
      <c r="Z21">
        <v>965101.89529999997</v>
      </c>
      <c r="AA21">
        <v>1035875.775</v>
      </c>
      <c r="AB21">
        <v>1133631.9272</v>
      </c>
      <c r="AC21">
        <v>1323167.2047999999</v>
      </c>
      <c r="AD21">
        <v>1336934.6311999999</v>
      </c>
      <c r="AE21">
        <v>1362672.1610000001</v>
      </c>
    </row>
    <row r="22" spans="1:31" x14ac:dyDescent="0.3">
      <c r="A22" s="4" t="s">
        <v>21</v>
      </c>
      <c r="B22">
        <v>54314.445715662099</v>
      </c>
      <c r="C22">
        <v>64196.207196944299</v>
      </c>
      <c r="D22">
        <v>87561.202727463897</v>
      </c>
      <c r="E22">
        <v>101149.75986028201</v>
      </c>
      <c r="F22">
        <v>83494.985400533202</v>
      </c>
      <c r="G22">
        <v>96911.053219203604</v>
      </c>
      <c r="H22">
        <v>107789.442815249</v>
      </c>
      <c r="I22">
        <v>125569.48085999</v>
      </c>
      <c r="J22">
        <v>110490.555425357</v>
      </c>
      <c r="K22">
        <v>133000.793201133</v>
      </c>
      <c r="L22">
        <v>179951.59405775301</v>
      </c>
      <c r="M22">
        <v>236791.49154899799</v>
      </c>
      <c r="N22">
        <v>241178.503216727</v>
      </c>
      <c r="O22">
        <v>359593.992191597</v>
      </c>
      <c r="P22">
        <v>464582.60571286001</v>
      </c>
      <c r="Q22">
        <v>403687.55281284399</v>
      </c>
      <c r="R22">
        <v>419561.02016440697</v>
      </c>
      <c r="S22">
        <v>456672.87658166501</v>
      </c>
      <c r="T22">
        <v>492160.66321123199</v>
      </c>
      <c r="U22">
        <v>515297.56322545902</v>
      </c>
      <c r="V22">
        <v>563500.21666708204</v>
      </c>
      <c r="W22">
        <v>528378.95075524098</v>
      </c>
      <c r="X22">
        <v>464607.85707515897</v>
      </c>
      <c r="Y22">
        <v>454752.267661274</v>
      </c>
      <c r="Z22">
        <v>565772.66081871395</v>
      </c>
      <c r="AA22">
        <v>478041.91509792098</v>
      </c>
      <c r="AB22">
        <v>469073.37111395499</v>
      </c>
      <c r="AC22">
        <v>516945.53147776797</v>
      </c>
      <c r="AD22">
        <v>492319.624699882</v>
      </c>
      <c r="AE22">
        <v>466043.17512683</v>
      </c>
    </row>
    <row r="23" spans="1:31" x14ac:dyDescent="0.3">
      <c r="A23" s="4" t="s">
        <v>22</v>
      </c>
      <c r="B23">
        <v>425727.002365664</v>
      </c>
      <c r="C23">
        <v>487024.78078536002</v>
      </c>
      <c r="D23">
        <v>548622.42503259506</v>
      </c>
      <c r="E23">
        <v>596472.59358288802</v>
      </c>
      <c r="F23">
        <v>631552.25726654299</v>
      </c>
      <c r="G23">
        <v>756517.05412277498</v>
      </c>
      <c r="H23">
        <v>705407.68174315896</v>
      </c>
      <c r="I23">
        <v>782140.78154573997</v>
      </c>
      <c r="J23">
        <v>753374.57905926998</v>
      </c>
      <c r="K23">
        <v>923674.81054087903</v>
      </c>
      <c r="L23">
        <v>1033007.33925757</v>
      </c>
      <c r="M23">
        <v>1145708.35944989</v>
      </c>
      <c r="N23">
        <v>1197852.86754361</v>
      </c>
      <c r="O23">
        <v>1377983.2251419399</v>
      </c>
      <c r="P23">
        <v>1865991.94728479</v>
      </c>
      <c r="Q23">
        <v>1591156.2181965399</v>
      </c>
      <c r="R23">
        <v>1587419.9182396501</v>
      </c>
      <c r="S23">
        <v>1557536.06945889</v>
      </c>
      <c r="T23">
        <v>1550900.1344777599</v>
      </c>
      <c r="U23">
        <v>1583832.4455613799</v>
      </c>
      <c r="V23">
        <v>1691464.60699918</v>
      </c>
      <c r="W23">
        <v>1576498.7416457201</v>
      </c>
      <c r="X23">
        <v>1548807.6167653799</v>
      </c>
      <c r="Y23">
        <v>1620570.7445561499</v>
      </c>
      <c r="Z23">
        <v>1729520.16807607</v>
      </c>
      <c r="AA23">
        <v>1605824.04059449</v>
      </c>
      <c r="AB23">
        <v>1651965.1756209501</v>
      </c>
      <c r="AC23">
        <v>1673108.96046396</v>
      </c>
      <c r="AD23">
        <v>1691624.9277415299</v>
      </c>
      <c r="AE23">
        <v>1627082.45089105</v>
      </c>
    </row>
    <row r="24" spans="1:31" x14ac:dyDescent="0.3">
      <c r="A24" s="4" t="s">
        <v>23</v>
      </c>
      <c r="B24">
        <v>20648</v>
      </c>
      <c r="C24">
        <v>18195</v>
      </c>
      <c r="D24">
        <v>18969</v>
      </c>
      <c r="E24">
        <v>20025</v>
      </c>
      <c r="F24">
        <v>22435</v>
      </c>
      <c r="G24">
        <v>25500</v>
      </c>
      <c r="H24">
        <v>28517</v>
      </c>
      <c r="I24">
        <v>28974</v>
      </c>
      <c r="J24">
        <v>31364.629757021001</v>
      </c>
      <c r="K24">
        <v>32664.334539382598</v>
      </c>
      <c r="L24">
        <v>38116.645876399998</v>
      </c>
      <c r="M24">
        <v>48904.239492599998</v>
      </c>
      <c r="N24">
        <v>55006</v>
      </c>
      <c r="O24">
        <v>81183</v>
      </c>
      <c r="P24">
        <v>94503</v>
      </c>
      <c r="Q24">
        <v>106002</v>
      </c>
      <c r="R24">
        <v>97102</v>
      </c>
      <c r="S24">
        <v>89672</v>
      </c>
      <c r="T24">
        <v>78472</v>
      </c>
      <c r="U24">
        <v>80173</v>
      </c>
      <c r="V24">
        <v>79572</v>
      </c>
      <c r="W24">
        <v>82493</v>
      </c>
      <c r="X24">
        <v>81825</v>
      </c>
      <c r="Y24">
        <v>89625</v>
      </c>
      <c r="Z24">
        <v>94349</v>
      </c>
      <c r="AA24">
        <v>107972</v>
      </c>
      <c r="AB24">
        <v>113330</v>
      </c>
      <c r="AC24">
        <v>109203</v>
      </c>
      <c r="AD24">
        <v>122537</v>
      </c>
      <c r="AE24">
        <v>122455</v>
      </c>
    </row>
    <row r="25" spans="1:31" x14ac:dyDescent="0.3">
      <c r="A25" s="4" t="s">
        <v>24</v>
      </c>
      <c r="B25">
        <v>1422174.18</v>
      </c>
      <c r="C25">
        <v>1486820.3125</v>
      </c>
      <c r="D25">
        <v>1690152.55</v>
      </c>
      <c r="E25">
        <v>1972456.23</v>
      </c>
      <c r="F25">
        <v>2379780.1625999999</v>
      </c>
      <c r="G25">
        <v>2508394.977</v>
      </c>
      <c r="H25">
        <v>2543306.7996</v>
      </c>
      <c r="I25">
        <v>2923418.2626</v>
      </c>
      <c r="J25">
        <v>3078237.5847999998</v>
      </c>
      <c r="K25">
        <v>3423213.3709999998</v>
      </c>
      <c r="L25">
        <v>4350807.6939000003</v>
      </c>
      <c r="M25">
        <v>5497034.7960000001</v>
      </c>
      <c r="N25">
        <v>5983692.0388000002</v>
      </c>
      <c r="O25">
        <v>7548810.7240000004</v>
      </c>
      <c r="P25">
        <v>9513259.0938000008</v>
      </c>
      <c r="Q25">
        <v>7700660.8530000001</v>
      </c>
      <c r="R25">
        <v>7369727.4705000101</v>
      </c>
      <c r="S25">
        <v>7607623.9594999999</v>
      </c>
      <c r="T25">
        <v>7904018.8029999901</v>
      </c>
      <c r="U25">
        <v>7586893.0260000098</v>
      </c>
      <c r="V25">
        <v>7396248.1380000003</v>
      </c>
      <c r="W25">
        <v>7112960.4824000103</v>
      </c>
      <c r="X25">
        <v>6601098.3576999996</v>
      </c>
      <c r="Y25">
        <v>6427345.977</v>
      </c>
      <c r="Z25">
        <v>7198501.5877499999</v>
      </c>
      <c r="AA25">
        <v>7243527.97585</v>
      </c>
      <c r="AB25">
        <v>7022552.0074500004</v>
      </c>
      <c r="AC25">
        <v>7832804.4299999997</v>
      </c>
      <c r="AD25">
        <v>8165890.4850000003</v>
      </c>
      <c r="AE25">
        <v>8042748.7699999996</v>
      </c>
    </row>
    <row r="26" spans="1:31" x14ac:dyDescent="0.3">
      <c r="A26" s="4" t="s">
        <v>25</v>
      </c>
      <c r="B26">
        <v>1321315</v>
      </c>
      <c r="C26">
        <v>1410397</v>
      </c>
      <c r="D26">
        <v>1634090</v>
      </c>
      <c r="E26">
        <v>1875623</v>
      </c>
      <c r="F26">
        <v>2157220</v>
      </c>
      <c r="G26">
        <v>2278536</v>
      </c>
      <c r="H26">
        <v>2419905</v>
      </c>
      <c r="I26">
        <v>2726514</v>
      </c>
      <c r="J26">
        <v>2873499</v>
      </c>
      <c r="K26">
        <v>3250042</v>
      </c>
      <c r="L26">
        <v>3321241</v>
      </c>
      <c r="M26">
        <v>4092756</v>
      </c>
      <c r="N26">
        <v>4614054</v>
      </c>
      <c r="O26">
        <v>5692811</v>
      </c>
      <c r="P26">
        <v>6762711</v>
      </c>
      <c r="Q26">
        <v>6547273</v>
      </c>
      <c r="R26">
        <v>6592975</v>
      </c>
      <c r="S26">
        <v>7240924</v>
      </c>
      <c r="T26">
        <v>7239763</v>
      </c>
      <c r="U26">
        <v>7027158</v>
      </c>
      <c r="V26">
        <v>7010835</v>
      </c>
      <c r="W26">
        <v>7107799</v>
      </c>
      <c r="X26">
        <v>6661504</v>
      </c>
      <c r="Y26">
        <v>6726621</v>
      </c>
      <c r="Z26">
        <v>7559472</v>
      </c>
      <c r="AA26">
        <v>7891171</v>
      </c>
      <c r="AB26">
        <v>8393516</v>
      </c>
      <c r="AC26">
        <v>8885433</v>
      </c>
      <c r="AD26">
        <v>9339840</v>
      </c>
      <c r="AE26">
        <v>8798611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07A8-A7BD-4247-B805-91EEF2D8166F}">
  <dimension ref="A1:AE26"/>
  <sheetViews>
    <sheetView topLeftCell="C1" workbookViewId="0">
      <selection activeCell="AE25" sqref="AE25"/>
    </sheetView>
  </sheetViews>
  <sheetFormatPr defaultRowHeight="14.4" x14ac:dyDescent="0.3"/>
  <cols>
    <col min="31" max="31" width="8.88671875" customWidth="1"/>
  </cols>
  <sheetData>
    <row r="1" spans="1:31" x14ac:dyDescent="0.3">
      <c r="A1" s="2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28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ht="24.6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  <c r="T2" s="3">
        <v>2011</v>
      </c>
      <c r="U2" s="3">
        <v>2012</v>
      </c>
      <c r="V2" s="3">
        <v>2013</v>
      </c>
      <c r="W2" s="3">
        <v>2014</v>
      </c>
      <c r="X2" s="3">
        <v>2015</v>
      </c>
      <c r="Y2" s="3">
        <v>2016</v>
      </c>
      <c r="Z2" s="3">
        <v>2017</v>
      </c>
      <c r="AA2" s="3">
        <v>2018</v>
      </c>
      <c r="AB2" s="3">
        <v>2019</v>
      </c>
      <c r="AC2" s="3">
        <v>2020</v>
      </c>
      <c r="AD2" s="3">
        <v>2021</v>
      </c>
      <c r="AE2" s="3">
        <v>2022</v>
      </c>
    </row>
    <row r="3" spans="1:31" x14ac:dyDescent="0.3">
      <c r="A3" s="4" t="s">
        <v>2</v>
      </c>
      <c r="B3">
        <v>35939.113800000101</v>
      </c>
      <c r="C3">
        <v>46570.712400960001</v>
      </c>
      <c r="D3">
        <v>51341.675000000003</v>
      </c>
      <c r="E3">
        <v>61154.480410110198</v>
      </c>
      <c r="F3">
        <v>60327.1038242699</v>
      </c>
      <c r="G3">
        <v>73020.336689450196</v>
      </c>
      <c r="H3">
        <v>100804.84540000001</v>
      </c>
      <c r="I3">
        <v>84947.035999999905</v>
      </c>
      <c r="J3">
        <v>89130.336000000199</v>
      </c>
      <c r="K3">
        <v>87368.057199999806</v>
      </c>
      <c r="L3">
        <v>138978</v>
      </c>
      <c r="M3">
        <v>146733.21900000001</v>
      </c>
      <c r="N3">
        <v>182379.47750000001</v>
      </c>
      <c r="O3">
        <v>252366.14379999999</v>
      </c>
      <c r="P3">
        <v>325898.42720000102</v>
      </c>
      <c r="Q3">
        <v>173251.2672</v>
      </c>
      <c r="R3">
        <v>336652.31189999898</v>
      </c>
      <c r="S3">
        <v>402395.85460000002</v>
      </c>
      <c r="T3">
        <v>341019.18359999999</v>
      </c>
      <c r="U3">
        <v>398184.783</v>
      </c>
      <c r="V3">
        <v>386835.79949999898</v>
      </c>
      <c r="W3">
        <v>373755.29759999999</v>
      </c>
      <c r="X3">
        <v>335907.96200000099</v>
      </c>
      <c r="Y3">
        <v>381296.67840000102</v>
      </c>
      <c r="Z3">
        <v>458655.60000000102</v>
      </c>
      <c r="AA3">
        <v>385148.00200000103</v>
      </c>
      <c r="AB3">
        <v>462936.86319999897</v>
      </c>
      <c r="AC3">
        <v>528446.54320000205</v>
      </c>
      <c r="AD3">
        <v>583314.19360000105</v>
      </c>
      <c r="AE3">
        <v>565014.67500000098</v>
      </c>
    </row>
    <row r="4" spans="1:31" x14ac:dyDescent="0.3">
      <c r="A4" s="4" t="s">
        <v>3</v>
      </c>
      <c r="B4">
        <v>3590.5459935765498</v>
      </c>
      <c r="C4">
        <v>5378.7947853040396</v>
      </c>
      <c r="D4">
        <v>6988.5011895321204</v>
      </c>
      <c r="E4">
        <v>9056.0525835311291</v>
      </c>
      <c r="F4">
        <v>15661.679727697299</v>
      </c>
      <c r="G4">
        <v>15622.805822763299</v>
      </c>
      <c r="H4">
        <v>14745.0165</v>
      </c>
      <c r="I4">
        <v>19569.345499999999</v>
      </c>
      <c r="J4">
        <v>14919.7972262164</v>
      </c>
      <c r="K4">
        <v>17235.445140028802</v>
      </c>
      <c r="L4">
        <v>26470.539786977999</v>
      </c>
      <c r="M4">
        <v>45181.276815565201</v>
      </c>
      <c r="N4">
        <v>59235.693310504503</v>
      </c>
      <c r="O4">
        <v>92955.176999999996</v>
      </c>
      <c r="P4">
        <v>105124.13310000001</v>
      </c>
      <c r="Q4">
        <v>46804.262699999999</v>
      </c>
      <c r="R4">
        <v>60307.837800000001</v>
      </c>
      <c r="S4">
        <v>62709.2022</v>
      </c>
      <c r="T4">
        <v>47413.671600000001</v>
      </c>
      <c r="U4">
        <v>57855.69</v>
      </c>
      <c r="V4">
        <v>65576.205000000002</v>
      </c>
      <c r="W4">
        <v>54785.0484</v>
      </c>
      <c r="X4">
        <v>54703.908900000002</v>
      </c>
      <c r="Y4">
        <v>56828.639199999998</v>
      </c>
      <c r="Z4">
        <v>85998.205100000006</v>
      </c>
      <c r="AA4">
        <v>63700.93</v>
      </c>
      <c r="AB4">
        <v>73615.278600000005</v>
      </c>
      <c r="AC4">
        <v>78889.031900000002</v>
      </c>
      <c r="AD4">
        <v>92830.161200000104</v>
      </c>
      <c r="AE4">
        <v>67491.248200000002</v>
      </c>
    </row>
    <row r="5" spans="1:31" x14ac:dyDescent="0.3">
      <c r="A5" s="4" t="s">
        <v>4</v>
      </c>
      <c r="B5">
        <v>8252.5616172805294</v>
      </c>
      <c r="C5">
        <v>9736.94542599136</v>
      </c>
      <c r="D5">
        <v>10011.898691144001</v>
      </c>
      <c r="E5">
        <v>11173.2541790345</v>
      </c>
      <c r="F5">
        <v>12099.1332611051</v>
      </c>
      <c r="G5">
        <v>17842.629683726402</v>
      </c>
      <c r="H5">
        <v>15470.84</v>
      </c>
      <c r="I5">
        <v>14236.65</v>
      </c>
      <c r="J5">
        <v>15663.3449</v>
      </c>
      <c r="K5">
        <v>18059.662700000001</v>
      </c>
      <c r="L5">
        <v>27884.513999999999</v>
      </c>
      <c r="M5">
        <v>44250.542699999998</v>
      </c>
      <c r="N5">
        <v>43015.401100000003</v>
      </c>
      <c r="O5">
        <v>57745.182000000001</v>
      </c>
      <c r="P5">
        <v>72899.864100000093</v>
      </c>
      <c r="Q5">
        <v>55814.128499999999</v>
      </c>
      <c r="R5">
        <v>107402.4924</v>
      </c>
      <c r="S5">
        <v>107017.59420000001</v>
      </c>
      <c r="T5">
        <v>99243.423899999994</v>
      </c>
      <c r="U5">
        <v>141514.88579999999</v>
      </c>
      <c r="V5">
        <v>187040.4375</v>
      </c>
      <c r="W5">
        <v>195273.41579999999</v>
      </c>
      <c r="X5">
        <v>215728.08240000001</v>
      </c>
      <c r="Y5">
        <v>219182.1753</v>
      </c>
      <c r="Z5">
        <v>264747.87359999999</v>
      </c>
      <c r="AA5">
        <v>190408.92</v>
      </c>
      <c r="AB5">
        <v>235456.77619999999</v>
      </c>
      <c r="AC5">
        <v>229875.09719999999</v>
      </c>
      <c r="AD5">
        <v>241155.4572</v>
      </c>
      <c r="AE5">
        <v>199455.2666</v>
      </c>
    </row>
    <row r="6" spans="1:31" x14ac:dyDescent="0.3">
      <c r="A6" s="4" t="s">
        <v>5</v>
      </c>
      <c r="B6">
        <v>41005.8431482628</v>
      </c>
      <c r="C6">
        <v>44812.445594097502</v>
      </c>
      <c r="D6">
        <v>57054.989871081198</v>
      </c>
      <c r="E6">
        <v>79913.583268107497</v>
      </c>
      <c r="F6">
        <v>84974.6798684487</v>
      </c>
      <c r="G6">
        <v>92862.1804325384</v>
      </c>
      <c r="H6">
        <v>145243.82386129</v>
      </c>
      <c r="I6">
        <v>152328.55815091301</v>
      </c>
      <c r="J6">
        <v>113270.302130478</v>
      </c>
      <c r="K6">
        <v>99394.956951126893</v>
      </c>
      <c r="L6">
        <v>172321.60394924201</v>
      </c>
      <c r="M6">
        <v>225899.23636091701</v>
      </c>
      <c r="N6">
        <v>280843.38834950601</v>
      </c>
      <c r="O6">
        <v>346101.12637089199</v>
      </c>
      <c r="P6">
        <v>418081.02688836597</v>
      </c>
      <c r="Q6">
        <v>209170.890358292</v>
      </c>
      <c r="R6">
        <v>353642.88181982702</v>
      </c>
      <c r="S6">
        <v>462355.37881700299</v>
      </c>
      <c r="T6">
        <v>409846.95258106902</v>
      </c>
      <c r="U6">
        <v>442094.379695346</v>
      </c>
      <c r="V6">
        <v>432507.143778864</v>
      </c>
      <c r="W6">
        <v>449884.49746918399</v>
      </c>
      <c r="X6">
        <v>357797.21026011597</v>
      </c>
      <c r="Y6">
        <v>463699.334177404</v>
      </c>
      <c r="Z6">
        <v>586724.58509366296</v>
      </c>
      <c r="AA6">
        <v>507835.457811011</v>
      </c>
      <c r="AB6">
        <v>625580.04058503697</v>
      </c>
      <c r="AC6">
        <v>638867.228531425</v>
      </c>
      <c r="AD6">
        <v>791566.09716284496</v>
      </c>
      <c r="AE6">
        <v>702797.34984929801</v>
      </c>
    </row>
    <row r="7" spans="1:31" x14ac:dyDescent="0.3">
      <c r="A7" s="4" t="s">
        <v>6</v>
      </c>
      <c r="B7">
        <v>3248.4311554079</v>
      </c>
      <c r="C7">
        <v>6740.0953476902796</v>
      </c>
      <c r="D7">
        <v>8294.2661377569402</v>
      </c>
      <c r="E7">
        <v>12448.4817898898</v>
      </c>
      <c r="F7">
        <v>20363.3167301494</v>
      </c>
      <c r="G7">
        <v>20556.1731777969</v>
      </c>
      <c r="H7">
        <v>20740.2551765151</v>
      </c>
      <c r="I7">
        <v>26023.315254659901</v>
      </c>
      <c r="J7">
        <v>23842.399503061999</v>
      </c>
      <c r="K7">
        <v>20671.5025386179</v>
      </c>
      <c r="L7">
        <v>31257.850094165398</v>
      </c>
      <c r="M7">
        <v>44458.7825510279</v>
      </c>
      <c r="N7">
        <v>49096.630350563697</v>
      </c>
      <c r="O7">
        <v>62886.388525806302</v>
      </c>
      <c r="P7">
        <v>83226.213228774694</v>
      </c>
      <c r="Q7">
        <v>45686.200306533698</v>
      </c>
      <c r="R7">
        <v>67033.390493439394</v>
      </c>
      <c r="S7">
        <v>92773.591292109806</v>
      </c>
      <c r="T7">
        <v>78595.446950710102</v>
      </c>
      <c r="U7">
        <v>107299.570603099</v>
      </c>
      <c r="V7">
        <v>146634.581632088</v>
      </c>
      <c r="W7">
        <v>165487.63354788101</v>
      </c>
      <c r="X7">
        <v>202786.82284040999</v>
      </c>
      <c r="Y7">
        <v>172432.65086206899</v>
      </c>
      <c r="Z7">
        <v>236789.63223093899</v>
      </c>
      <c r="AA7">
        <v>186778.99806730699</v>
      </c>
      <c r="AB7">
        <v>238411.150556479</v>
      </c>
      <c r="AC7">
        <v>343747.853935552</v>
      </c>
      <c r="AD7">
        <v>412086.813387795</v>
      </c>
      <c r="AE7">
        <v>373504.77611083997</v>
      </c>
    </row>
    <row r="8" spans="1:31" x14ac:dyDescent="0.3">
      <c r="A8" s="4" t="s">
        <v>7</v>
      </c>
      <c r="B8">
        <v>5251.1020831532496</v>
      </c>
      <c r="C8">
        <v>12767.330072524899</v>
      </c>
      <c r="D8">
        <v>14625.3384114165</v>
      </c>
      <c r="E8">
        <v>23456.792781929002</v>
      </c>
      <c r="F8">
        <v>28870.256608924999</v>
      </c>
      <c r="G8">
        <v>79721.742543171102</v>
      </c>
      <c r="H8">
        <v>219531.21960000001</v>
      </c>
      <c r="I8">
        <v>204361.0625</v>
      </c>
      <c r="J8">
        <v>128038.7892</v>
      </c>
      <c r="K8">
        <v>89172.754277</v>
      </c>
      <c r="L8">
        <v>103315.10505</v>
      </c>
      <c r="M8">
        <v>102974.337749</v>
      </c>
      <c r="N8">
        <v>119951.966782</v>
      </c>
      <c r="O8">
        <v>154812.79686</v>
      </c>
      <c r="P8">
        <v>229908.30890999999</v>
      </c>
      <c r="Q8">
        <v>96964.178522999995</v>
      </c>
      <c r="R8">
        <v>104051.700018</v>
      </c>
      <c r="S8">
        <v>97396.473167999997</v>
      </c>
      <c r="T8">
        <v>66877.770483</v>
      </c>
      <c r="U8">
        <v>83513.454876000003</v>
      </c>
      <c r="V8">
        <v>113430.97500000001</v>
      </c>
      <c r="W8">
        <v>110717.4213</v>
      </c>
      <c r="X8">
        <v>112005.45600000001</v>
      </c>
      <c r="Y8">
        <v>119495.93829999999</v>
      </c>
      <c r="Z8">
        <v>147852.10260000001</v>
      </c>
      <c r="AA8">
        <v>160208.4</v>
      </c>
      <c r="AB8">
        <v>167796.641</v>
      </c>
      <c r="AC8">
        <v>203844.6249</v>
      </c>
      <c r="AD8">
        <v>247221.66279999999</v>
      </c>
      <c r="AE8">
        <v>194283.32320000001</v>
      </c>
    </row>
    <row r="9" spans="1:31" x14ac:dyDescent="0.3">
      <c r="A9" s="4" t="s">
        <v>8</v>
      </c>
      <c r="B9">
        <v>103818.1663981</v>
      </c>
      <c r="C9">
        <v>102207.25776281299</v>
      </c>
      <c r="D9">
        <v>120755.102040816</v>
      </c>
      <c r="E9">
        <v>155317.93011265999</v>
      </c>
      <c r="F9">
        <v>208580.35102954201</v>
      </c>
      <c r="G9">
        <v>300439.33761405898</v>
      </c>
      <c r="H9">
        <v>482208</v>
      </c>
      <c r="I9">
        <v>502116.41</v>
      </c>
      <c r="J9">
        <v>415991.22599999898</v>
      </c>
      <c r="K9">
        <v>345112.48820000002</v>
      </c>
      <c r="L9">
        <v>490900.31400000001</v>
      </c>
      <c r="M9">
        <v>593864.70319999999</v>
      </c>
      <c r="N9">
        <v>690443.01899999997</v>
      </c>
      <c r="O9">
        <v>990330.00300000003</v>
      </c>
      <c r="P9">
        <v>1060372.7672999999</v>
      </c>
      <c r="Q9">
        <v>624815.83949040005</v>
      </c>
      <c r="R9">
        <v>825769.74166260101</v>
      </c>
      <c r="S9">
        <v>774024.13096440001</v>
      </c>
      <c r="T9">
        <v>647730.56975909998</v>
      </c>
      <c r="U9">
        <v>810994.27859999996</v>
      </c>
      <c r="V9">
        <v>1009175.7324</v>
      </c>
      <c r="W9">
        <v>902179.49849999999</v>
      </c>
      <c r="X9">
        <v>853477.65540000005</v>
      </c>
      <c r="Y9">
        <v>867849.17362000002</v>
      </c>
      <c r="Z9">
        <v>1096312.39117</v>
      </c>
      <c r="AA9">
        <v>920743.16249999998</v>
      </c>
      <c r="AB9">
        <v>1071665.96958</v>
      </c>
      <c r="AC9">
        <v>1113341.6945</v>
      </c>
      <c r="AD9">
        <v>1325564.7995800001</v>
      </c>
      <c r="AE9">
        <v>1117951.56366</v>
      </c>
    </row>
    <row r="10" spans="1:31" x14ac:dyDescent="0.3">
      <c r="A10" s="4" t="s">
        <v>9</v>
      </c>
      <c r="B10">
        <v>93608.295197821906</v>
      </c>
      <c r="C10">
        <v>99506.069214875999</v>
      </c>
      <c r="D10">
        <v>110776.421346355</v>
      </c>
      <c r="E10">
        <v>140288.783123231</v>
      </c>
      <c r="F10">
        <v>186976.17320461999</v>
      </c>
      <c r="G10">
        <v>289976.09085475199</v>
      </c>
      <c r="H10">
        <v>375408.97399999999</v>
      </c>
      <c r="I10">
        <v>300752.48800000001</v>
      </c>
      <c r="J10">
        <v>294687.33139999898</v>
      </c>
      <c r="K10">
        <v>212677.4087</v>
      </c>
      <c r="L10">
        <v>362453.21399999998</v>
      </c>
      <c r="M10">
        <v>399719.14179999998</v>
      </c>
      <c r="N10">
        <v>449332.39390000002</v>
      </c>
      <c r="O10">
        <v>820184.13899999997</v>
      </c>
      <c r="P10">
        <v>1173072.327</v>
      </c>
      <c r="Q10">
        <v>525103.71869999997</v>
      </c>
      <c r="R10">
        <v>768754.58100000105</v>
      </c>
      <c r="S10">
        <v>831259.37340000004</v>
      </c>
      <c r="T10">
        <v>728749.06409999996</v>
      </c>
      <c r="U10">
        <v>939540.7818</v>
      </c>
      <c r="V10">
        <v>1249522.5222</v>
      </c>
      <c r="W10">
        <v>1180321.3097999999</v>
      </c>
      <c r="X10">
        <v>1129649.2731000001</v>
      </c>
      <c r="Y10">
        <v>1124478.0405999999</v>
      </c>
      <c r="Z10">
        <v>1445552.2690000001</v>
      </c>
      <c r="AA10">
        <v>1120312.655</v>
      </c>
      <c r="AB10">
        <v>1320899.3370000001</v>
      </c>
      <c r="AC10">
        <v>1438562.4617000001</v>
      </c>
      <c r="AD10">
        <v>1493735.173</v>
      </c>
      <c r="AE10">
        <v>1093135.9413999999</v>
      </c>
    </row>
    <row r="11" spans="1:31" x14ac:dyDescent="0.3">
      <c r="A11" s="4" t="s">
        <v>10</v>
      </c>
      <c r="B11">
        <v>1450.9923185904599</v>
      </c>
      <c r="C11">
        <v>2111.8727033519199</v>
      </c>
      <c r="D11">
        <v>2917.6321492100401</v>
      </c>
      <c r="E11">
        <v>4368.4294329615896</v>
      </c>
      <c r="F11">
        <v>5625.0040272614597</v>
      </c>
      <c r="G11">
        <v>12001</v>
      </c>
      <c r="H11">
        <v>15210.6486</v>
      </c>
      <c r="I11">
        <v>9584.15</v>
      </c>
      <c r="J11">
        <v>7711.37499999998</v>
      </c>
      <c r="K11">
        <v>8425.2558000000008</v>
      </c>
      <c r="L11">
        <v>16139.877</v>
      </c>
      <c r="M11">
        <v>28386.164000000001</v>
      </c>
      <c r="N11">
        <v>37962.745999999999</v>
      </c>
      <c r="O11">
        <v>60247.482000000004</v>
      </c>
      <c r="P11">
        <v>93547.538700000106</v>
      </c>
      <c r="Q11">
        <v>23892.705600000001</v>
      </c>
      <c r="R11">
        <v>28114.749599999999</v>
      </c>
      <c r="S11">
        <v>17106.0324</v>
      </c>
      <c r="T11">
        <v>7480.0358999999999</v>
      </c>
      <c r="U11">
        <v>10391.5944</v>
      </c>
      <c r="V11">
        <v>13300.0404</v>
      </c>
      <c r="W11">
        <v>16945.1937</v>
      </c>
      <c r="X11">
        <v>16539.5304</v>
      </c>
      <c r="Y11">
        <v>14755.291800000001</v>
      </c>
      <c r="Z11">
        <v>19074.8665</v>
      </c>
      <c r="AA11">
        <v>13103.38</v>
      </c>
      <c r="AB11">
        <v>18916.9326</v>
      </c>
      <c r="AC11">
        <v>15289.665999999999</v>
      </c>
      <c r="AD11">
        <v>21970.174800000001</v>
      </c>
      <c r="AE11">
        <v>25219.757000000001</v>
      </c>
    </row>
    <row r="12" spans="1:31" x14ac:dyDescent="0.3">
      <c r="A12" s="4" t="s">
        <v>11</v>
      </c>
      <c r="B12">
        <v>0.46433676214610098</v>
      </c>
      <c r="C12">
        <v>0.60383707695394295</v>
      </c>
      <c r="D12">
        <v>1.0280768729620999</v>
      </c>
      <c r="E12">
        <v>2.4370003038158301</v>
      </c>
      <c r="F12">
        <v>1.72920045750212</v>
      </c>
      <c r="G12">
        <v>6.4168630933272697</v>
      </c>
      <c r="H12">
        <v>60.372451308900501</v>
      </c>
      <c r="I12">
        <v>30.747257720449799</v>
      </c>
      <c r="J12">
        <v>117.82418649829999</v>
      </c>
      <c r="K12">
        <v>236.41102010424399</v>
      </c>
      <c r="L12">
        <v>292.97084096351603</v>
      </c>
      <c r="M12">
        <v>781.25819134993503</v>
      </c>
      <c r="N12">
        <v>3722.0069863448698</v>
      </c>
      <c r="O12">
        <v>4992.31091264304</v>
      </c>
      <c r="P12">
        <v>5845.3839935327396</v>
      </c>
      <c r="Q12">
        <v>103.665616188423</v>
      </c>
      <c r="R12">
        <v>493.85108086469199</v>
      </c>
      <c r="S12">
        <v>465.962624945676</v>
      </c>
      <c r="T12">
        <v>465.21880857305803</v>
      </c>
      <c r="U12">
        <v>463.98945654701902</v>
      </c>
      <c r="V12">
        <v>590.72263089571595</v>
      </c>
      <c r="W12">
        <v>599.49566587864501</v>
      </c>
      <c r="X12">
        <v>713.96712709313999</v>
      </c>
      <c r="Y12">
        <v>802.62364828931095</v>
      </c>
      <c r="Z12">
        <v>1223.4820915533401</v>
      </c>
      <c r="AA12">
        <v>1397.69620906043</v>
      </c>
      <c r="AB12">
        <v>2652.1882741535901</v>
      </c>
      <c r="AC12">
        <v>2936.1370961402399</v>
      </c>
      <c r="AD12">
        <v>3035.6496395152599</v>
      </c>
      <c r="AE12">
        <v>2069.3185018304698</v>
      </c>
    </row>
    <row r="13" spans="1:31" x14ac:dyDescent="0.3">
      <c r="A13" s="4" t="s">
        <v>12</v>
      </c>
      <c r="B13">
        <v>16319.9745477178</v>
      </c>
      <c r="C13">
        <v>20612.312519304</v>
      </c>
      <c r="D13">
        <v>30857.853182531599</v>
      </c>
      <c r="E13">
        <v>44596.626229295201</v>
      </c>
      <c r="F13">
        <v>63195.042509999999</v>
      </c>
      <c r="G13">
        <v>109688.501</v>
      </c>
      <c r="H13">
        <v>160645.58600000001</v>
      </c>
      <c r="I13">
        <v>217502.514</v>
      </c>
      <c r="J13">
        <v>279224.92289999902</v>
      </c>
      <c r="K13">
        <v>343771.2009</v>
      </c>
      <c r="L13">
        <v>481711.989</v>
      </c>
      <c r="M13">
        <v>613830.36499999999</v>
      </c>
      <c r="N13">
        <v>712329.99309999996</v>
      </c>
      <c r="O13">
        <v>950794.98</v>
      </c>
      <c r="P13">
        <v>1155092.0976</v>
      </c>
      <c r="Q13">
        <v>889190.530800001</v>
      </c>
      <c r="R13">
        <v>1177526.2716000001</v>
      </c>
      <c r="S13">
        <v>1407712.0878000001</v>
      </c>
      <c r="T13">
        <v>1482030.4722</v>
      </c>
      <c r="U13">
        <v>1771677.1259999999</v>
      </c>
      <c r="V13">
        <v>2092944.2256</v>
      </c>
      <c r="W13">
        <v>2351774.8332000002</v>
      </c>
      <c r="X13">
        <v>2518357.9772999999</v>
      </c>
      <c r="Y13">
        <v>2582621.9493</v>
      </c>
      <c r="Z13">
        <v>3244307.9824000001</v>
      </c>
      <c r="AA13">
        <v>3122831.78</v>
      </c>
      <c r="AB13">
        <v>3816112.2853999999</v>
      </c>
      <c r="AC13">
        <v>4479826.7352999998</v>
      </c>
      <c r="AD13">
        <v>5191368.3710000003</v>
      </c>
      <c r="AE13">
        <v>4279407.1869999999</v>
      </c>
    </row>
    <row r="14" spans="1:31" x14ac:dyDescent="0.3">
      <c r="A14" s="4" t="s">
        <v>13</v>
      </c>
      <c r="B14">
        <v>39717.947554104197</v>
      </c>
      <c r="C14">
        <v>39699.746579163802</v>
      </c>
      <c r="D14">
        <v>58679.4909993029</v>
      </c>
      <c r="E14">
        <v>97281.610720326207</v>
      </c>
      <c r="F14">
        <v>140964.883893433</v>
      </c>
      <c r="G14">
        <v>230761.599419273</v>
      </c>
      <c r="H14">
        <v>196208.42600000001</v>
      </c>
      <c r="I14">
        <v>195863.7365</v>
      </c>
      <c r="J14">
        <v>156569.11410000001</v>
      </c>
      <c r="K14">
        <v>154973.73989999999</v>
      </c>
      <c r="L14">
        <v>213863.79</v>
      </c>
      <c r="M14">
        <v>291745.47480000003</v>
      </c>
      <c r="N14">
        <v>292877.04080000002</v>
      </c>
      <c r="O14">
        <v>400416.72899999999</v>
      </c>
      <c r="P14">
        <v>419413.06679999997</v>
      </c>
      <c r="Q14">
        <v>186156.5754</v>
      </c>
      <c r="R14">
        <v>245736.10740000001</v>
      </c>
      <c r="S14">
        <v>203909.46479999999</v>
      </c>
      <c r="T14">
        <v>150488.3334</v>
      </c>
      <c r="U14">
        <v>203425.092</v>
      </c>
      <c r="V14">
        <v>262747.5111</v>
      </c>
      <c r="W14">
        <v>248049.1287</v>
      </c>
      <c r="X14">
        <v>276953.30430000002</v>
      </c>
      <c r="Y14">
        <v>228770.2689</v>
      </c>
      <c r="Z14">
        <v>315928.00109999999</v>
      </c>
      <c r="AA14">
        <v>249037.5</v>
      </c>
      <c r="AB14">
        <v>320336.38660000003</v>
      </c>
      <c r="AC14">
        <v>313440.60720000003</v>
      </c>
      <c r="AD14">
        <v>339544.4192</v>
      </c>
      <c r="AE14">
        <v>268647.74180000002</v>
      </c>
    </row>
    <row r="15" spans="1:31" x14ac:dyDescent="0.3">
      <c r="A15" s="4" t="s">
        <v>14</v>
      </c>
      <c r="B15">
        <v>171170</v>
      </c>
      <c r="C15">
        <v>250879.386404652</v>
      </c>
      <c r="D15">
        <v>306282.21336185897</v>
      </c>
      <c r="E15">
        <v>312550.29327504698</v>
      </c>
      <c r="F15">
        <v>277310.16685605998</v>
      </c>
      <c r="G15">
        <v>302013.45436665299</v>
      </c>
      <c r="H15">
        <v>825970.42501996097</v>
      </c>
      <c r="I15">
        <v>550232.95418895199</v>
      </c>
      <c r="J15">
        <v>376048.35472759901</v>
      </c>
      <c r="K15">
        <v>339928.26796889998</v>
      </c>
      <c r="L15">
        <v>561022.13177504996</v>
      </c>
      <c r="M15">
        <v>743302.21884610096</v>
      </c>
      <c r="N15">
        <v>1126068.4919894901</v>
      </c>
      <c r="O15">
        <v>1254952.7544941599</v>
      </c>
      <c r="P15">
        <v>1245889.78769965</v>
      </c>
      <c r="Q15">
        <v>756199.82332473795</v>
      </c>
      <c r="R15">
        <v>829589.24009048496</v>
      </c>
      <c r="S15">
        <v>988790.62016942899</v>
      </c>
      <c r="T15">
        <v>847162.08631497703</v>
      </c>
      <c r="U15">
        <v>965403.32285338</v>
      </c>
      <c r="V15">
        <v>1446563.1605092101</v>
      </c>
      <c r="W15">
        <v>1402053.6666419101</v>
      </c>
      <c r="X15">
        <v>1551198.86576398</v>
      </c>
      <c r="Y15">
        <v>1554199.03989961</v>
      </c>
      <c r="Z15">
        <v>1947221.5577395901</v>
      </c>
      <c r="AA15">
        <v>1590728.42430533</v>
      </c>
      <c r="AB15">
        <v>1923781.1735252501</v>
      </c>
      <c r="AC15">
        <v>2119865.57523653</v>
      </c>
      <c r="AD15">
        <v>2136321.7554802801</v>
      </c>
      <c r="AE15">
        <v>1706284.9795905901</v>
      </c>
    </row>
    <row r="16" spans="1:31" x14ac:dyDescent="0.3">
      <c r="A16" s="4" t="s">
        <v>15</v>
      </c>
      <c r="B16">
        <v>48570.367941053199</v>
      </c>
      <c r="C16">
        <v>30351.578777856499</v>
      </c>
      <c r="D16">
        <v>24204.041232249201</v>
      </c>
      <c r="E16">
        <v>30348.310960868799</v>
      </c>
      <c r="F16">
        <v>48767.003346198602</v>
      </c>
      <c r="G16">
        <v>31529.511246718601</v>
      </c>
      <c r="H16">
        <v>59904.37144553</v>
      </c>
      <c r="I16">
        <v>47291.188150502101</v>
      </c>
      <c r="J16">
        <v>54939.53</v>
      </c>
      <c r="K16">
        <v>44563.5</v>
      </c>
      <c r="L16">
        <v>56515.88</v>
      </c>
      <c r="M16">
        <v>73966.59</v>
      </c>
      <c r="N16">
        <v>106558.723847</v>
      </c>
      <c r="O16">
        <v>154231.90714900001</v>
      </c>
      <c r="P16">
        <v>154433.10607800001</v>
      </c>
      <c r="Q16">
        <v>148697.19</v>
      </c>
      <c r="R16">
        <v>134384.01703399999</v>
      </c>
      <c r="S16">
        <v>161334.010316</v>
      </c>
      <c r="T16">
        <v>129323.234532</v>
      </c>
      <c r="U16">
        <v>171554.938039</v>
      </c>
      <c r="V16">
        <v>168242.699272</v>
      </c>
      <c r="W16">
        <v>153096.58676199999</v>
      </c>
      <c r="X16">
        <v>134145.84124199999</v>
      </c>
      <c r="Y16">
        <v>125367.595219</v>
      </c>
      <c r="Z16">
        <v>151695.500098761</v>
      </c>
      <c r="AA16">
        <v>135361.60585578001</v>
      </c>
      <c r="AB16">
        <v>149194.77223039599</v>
      </c>
      <c r="AC16">
        <v>139862.21767298199</v>
      </c>
      <c r="AD16">
        <v>157691.623573644</v>
      </c>
      <c r="AE16">
        <v>147152.01225919399</v>
      </c>
    </row>
    <row r="17" spans="1:31" x14ac:dyDescent="0.3">
      <c r="A17" s="4" t="s">
        <v>16</v>
      </c>
      <c r="B17">
        <v>92380.081405533507</v>
      </c>
      <c r="C17">
        <v>105238.55143795699</v>
      </c>
      <c r="D17">
        <v>129955.123410621</v>
      </c>
      <c r="E17">
        <v>179628.35512732301</v>
      </c>
      <c r="F17">
        <v>224691.65179456701</v>
      </c>
      <c r="G17">
        <v>308671.11393477302</v>
      </c>
      <c r="H17">
        <v>363795.79800000001</v>
      </c>
      <c r="I17">
        <v>350571.45799999998</v>
      </c>
      <c r="J17">
        <v>283977.77380000002</v>
      </c>
      <c r="K17">
        <v>262250.50640000001</v>
      </c>
      <c r="L17">
        <v>325418.26500000001</v>
      </c>
      <c r="M17">
        <v>380574.82630000002</v>
      </c>
      <c r="N17">
        <v>548090.97939999995</v>
      </c>
      <c r="O17">
        <v>700123.78500000003</v>
      </c>
      <c r="P17">
        <v>685184.52870000002</v>
      </c>
      <c r="Q17">
        <v>359648.68079999997</v>
      </c>
      <c r="R17">
        <v>472610.43900000001</v>
      </c>
      <c r="S17">
        <v>507373.8468</v>
      </c>
      <c r="T17">
        <v>475536.71580000001</v>
      </c>
      <c r="U17">
        <v>522035.12339999998</v>
      </c>
      <c r="V17">
        <v>629768.77320000005</v>
      </c>
      <c r="W17">
        <v>626805.83519999997</v>
      </c>
      <c r="X17">
        <v>767934.14159999997</v>
      </c>
      <c r="Y17">
        <v>905341.19160000002</v>
      </c>
      <c r="Z17">
        <v>1162121.7</v>
      </c>
      <c r="AA17">
        <v>960906.9</v>
      </c>
      <c r="AB17">
        <v>1177235.5748000001</v>
      </c>
      <c r="AC17">
        <v>1198572.3792000001</v>
      </c>
      <c r="AD17">
        <v>1438767.8297999999</v>
      </c>
      <c r="AE17">
        <v>1038087.6488</v>
      </c>
    </row>
    <row r="18" spans="1:31" x14ac:dyDescent="0.3">
      <c r="A18" s="4" t="s">
        <v>17</v>
      </c>
      <c r="B18">
        <v>3722.4353093661298</v>
      </c>
      <c r="C18">
        <v>4565.52581915885</v>
      </c>
      <c r="D18">
        <v>6210.15743854845</v>
      </c>
      <c r="E18">
        <v>7685.54593935501</v>
      </c>
      <c r="F18">
        <v>7467.5298000000003</v>
      </c>
      <c r="G18">
        <v>6870.9883530173602</v>
      </c>
      <c r="H18">
        <v>7891.4715648436204</v>
      </c>
      <c r="I18">
        <v>4582.0418</v>
      </c>
      <c r="J18">
        <v>4169.9579999999996</v>
      </c>
      <c r="K18">
        <v>5651.97749999999</v>
      </c>
      <c r="L18">
        <v>8964.7999999999902</v>
      </c>
      <c r="M18">
        <v>12077.7408</v>
      </c>
      <c r="N18">
        <v>11489.0854</v>
      </c>
      <c r="O18">
        <v>11818.177799999999</v>
      </c>
      <c r="P18">
        <v>12533.382</v>
      </c>
      <c r="Q18">
        <v>5738.1415000000097</v>
      </c>
      <c r="R18">
        <v>9232.7080999999998</v>
      </c>
      <c r="S18">
        <v>9229.4761999999992</v>
      </c>
      <c r="T18">
        <v>8864.5508999999693</v>
      </c>
      <c r="U18">
        <v>11778.79</v>
      </c>
      <c r="V18">
        <v>16542.613799999999</v>
      </c>
      <c r="W18">
        <v>21831.166499999999</v>
      </c>
      <c r="X18">
        <v>22801.785599999901</v>
      </c>
      <c r="Y18">
        <v>26819.7338164588</v>
      </c>
      <c r="Z18">
        <v>30493.967352732401</v>
      </c>
      <c r="AA18">
        <v>33238.453276047301</v>
      </c>
      <c r="AB18">
        <v>43364.7629310345</v>
      </c>
      <c r="AC18">
        <v>59752.1138975211</v>
      </c>
      <c r="AD18">
        <v>54294.5958871353</v>
      </c>
      <c r="AE18">
        <v>41997.465948685502</v>
      </c>
    </row>
    <row r="19" spans="1:31" x14ac:dyDescent="0.3">
      <c r="A19" s="4" t="s">
        <v>18</v>
      </c>
      <c r="B19">
        <v>9558.6625317485395</v>
      </c>
      <c r="C19">
        <v>12663.8041093802</v>
      </c>
      <c r="D19">
        <v>14136.8470635839</v>
      </c>
      <c r="E19">
        <v>17644.6528026386</v>
      </c>
      <c r="F19">
        <v>17310.016964734201</v>
      </c>
      <c r="G19">
        <v>11907.232911212101</v>
      </c>
      <c r="H19">
        <v>14253.569364892601</v>
      </c>
      <c r="I19">
        <v>15581.198681931701</v>
      </c>
      <c r="J19">
        <v>15977.432000000001</v>
      </c>
      <c r="K19">
        <v>15319.972</v>
      </c>
      <c r="L19">
        <v>22512.701000000001</v>
      </c>
      <c r="M19">
        <v>40549.337748344398</v>
      </c>
      <c r="N19">
        <v>58822.0088626293</v>
      </c>
      <c r="O19">
        <v>100857.188498403</v>
      </c>
      <c r="P19">
        <v>132994.45471349399</v>
      </c>
      <c r="Q19">
        <v>40754.571428571398</v>
      </c>
      <c r="R19">
        <v>76559.515570934294</v>
      </c>
      <c r="S19">
        <v>87419.624573378795</v>
      </c>
      <c r="T19">
        <v>79511.861999999994</v>
      </c>
      <c r="U19">
        <v>90699.640933572693</v>
      </c>
      <c r="V19">
        <v>101598.848684211</v>
      </c>
      <c r="W19">
        <v>85910.632570659494</v>
      </c>
      <c r="X19">
        <v>76736.435868331406</v>
      </c>
      <c r="Y19">
        <v>88288.515081206497</v>
      </c>
      <c r="Z19">
        <v>110280.998781973</v>
      </c>
      <c r="AA19">
        <v>104369.505178366</v>
      </c>
      <c r="AB19">
        <v>116377.904328018</v>
      </c>
      <c r="AC19">
        <v>123824.13</v>
      </c>
      <c r="AD19">
        <v>150863.26530612199</v>
      </c>
      <c r="AE19">
        <v>139875.13</v>
      </c>
    </row>
    <row r="20" spans="1:31" x14ac:dyDescent="0.3">
      <c r="A20" s="4" t="s">
        <v>19</v>
      </c>
      <c r="B20">
        <v>2929.0998348528401</v>
      </c>
      <c r="C20">
        <v>3597.2670073478998</v>
      </c>
      <c r="D20">
        <v>3650.95431126838</v>
      </c>
      <c r="E20">
        <v>6550.7847884663997</v>
      </c>
      <c r="F20">
        <v>12618.0738604079</v>
      </c>
      <c r="G20">
        <v>18806.043396423302</v>
      </c>
      <c r="H20">
        <v>22928.990399999999</v>
      </c>
      <c r="I20">
        <v>21934.676500000001</v>
      </c>
      <c r="J20">
        <v>18131.8662</v>
      </c>
      <c r="K20">
        <v>19551.962800000001</v>
      </c>
      <c r="L20">
        <v>37423.953000000001</v>
      </c>
      <c r="M20">
        <v>51111.440399999999</v>
      </c>
      <c r="N20">
        <v>53118.351900000001</v>
      </c>
      <c r="O20">
        <v>70148.687999999995</v>
      </c>
      <c r="P20">
        <v>82428.767399999997</v>
      </c>
      <c r="Q20">
        <v>64679.2575</v>
      </c>
      <c r="R20">
        <v>77867.311199999996</v>
      </c>
      <c r="S20">
        <v>68194.303199999995</v>
      </c>
      <c r="T20">
        <v>51283.726499999997</v>
      </c>
      <c r="U20">
        <v>43073.132400000002</v>
      </c>
      <c r="V20">
        <v>48504.326099999998</v>
      </c>
      <c r="W20">
        <v>38024.397900000004</v>
      </c>
      <c r="X20">
        <v>35937.987000000001</v>
      </c>
      <c r="Y20">
        <v>34380.525600000001</v>
      </c>
      <c r="Z20">
        <v>40782.196499999998</v>
      </c>
      <c r="AA20">
        <v>35316.379999999997</v>
      </c>
      <c r="AB20">
        <v>37797.916400000002</v>
      </c>
      <c r="AC20">
        <v>40921.330800000003</v>
      </c>
      <c r="AD20">
        <v>41254.955000000002</v>
      </c>
      <c r="AE20">
        <v>42972.2474</v>
      </c>
    </row>
    <row r="21" spans="1:31" x14ac:dyDescent="0.3">
      <c r="A21" s="4" t="s">
        <v>20</v>
      </c>
      <c r="B21">
        <v>22817.725399749699</v>
      </c>
      <c r="C21">
        <v>24146.228527619001</v>
      </c>
      <c r="D21">
        <v>32460.525990659698</v>
      </c>
      <c r="E21">
        <v>39162.064368691703</v>
      </c>
      <c r="F21">
        <v>46973.672067606203</v>
      </c>
      <c r="G21">
        <v>75774.686780781194</v>
      </c>
      <c r="H21">
        <v>146619.36079999999</v>
      </c>
      <c r="I21">
        <v>137268.2905</v>
      </c>
      <c r="J21">
        <v>127040.2763</v>
      </c>
      <c r="K21">
        <v>122663.2929</v>
      </c>
      <c r="L21">
        <v>186769.91399999999</v>
      </c>
      <c r="M21">
        <v>249550.34099999999</v>
      </c>
      <c r="N21">
        <v>232810.25589999999</v>
      </c>
      <c r="O21">
        <v>323564.511</v>
      </c>
      <c r="P21">
        <v>415619.46509999997</v>
      </c>
      <c r="Q21">
        <v>236788.01310000001</v>
      </c>
      <c r="R21">
        <v>320704.9314</v>
      </c>
      <c r="S21">
        <v>241893.62220000001</v>
      </c>
      <c r="T21">
        <v>209975.38589999999</v>
      </c>
      <c r="U21">
        <v>236135.6568</v>
      </c>
      <c r="V21">
        <v>334001.47080000001</v>
      </c>
      <c r="W21">
        <v>330722.05410000001</v>
      </c>
      <c r="X21">
        <v>315223.2867</v>
      </c>
      <c r="Y21">
        <v>304627.52130000002</v>
      </c>
      <c r="Z21">
        <v>406604.67550000001</v>
      </c>
      <c r="AA21">
        <v>321974</v>
      </c>
      <c r="AB21">
        <v>361954.98639999999</v>
      </c>
      <c r="AC21">
        <v>344758.65340000001</v>
      </c>
      <c r="AD21">
        <v>350424.17479999998</v>
      </c>
      <c r="AE21">
        <v>298524.27439999999</v>
      </c>
    </row>
    <row r="22" spans="1:31" x14ac:dyDescent="0.3">
      <c r="A22" s="4" t="s">
        <v>21</v>
      </c>
      <c r="B22">
        <v>21798.0369723611</v>
      </c>
      <c r="C22">
        <v>35917.710916035699</v>
      </c>
      <c r="D22">
        <v>48061.037517647397</v>
      </c>
      <c r="E22">
        <v>70295.444622325696</v>
      </c>
      <c r="F22">
        <v>79471.880157420295</v>
      </c>
      <c r="G22">
        <v>94032.998387296902</v>
      </c>
      <c r="H22">
        <v>136070.38123167201</v>
      </c>
      <c r="I22">
        <v>126018.45831148401</v>
      </c>
      <c r="J22">
        <v>78435.153503632493</v>
      </c>
      <c r="K22">
        <v>56310.934844192598</v>
      </c>
      <c r="L22">
        <v>89737.522951093299</v>
      </c>
      <c r="M22">
        <v>124104.405406223</v>
      </c>
      <c r="N22">
        <v>141279.65420185</v>
      </c>
      <c r="O22">
        <v>209105.52998076999</v>
      </c>
      <c r="P22">
        <v>204057.00386678299</v>
      </c>
      <c r="Q22">
        <v>86848.001433948695</v>
      </c>
      <c r="R22">
        <v>140041.733998454</v>
      </c>
      <c r="S22">
        <v>202626.94308240301</v>
      </c>
      <c r="T22">
        <v>170539.076905208</v>
      </c>
      <c r="U22">
        <v>223163.348451072</v>
      </c>
      <c r="V22">
        <v>278344.74921386101</v>
      </c>
      <c r="W22">
        <v>262878.26693896501</v>
      </c>
      <c r="X22">
        <v>263788.029570657</v>
      </c>
      <c r="Y22">
        <v>254111.58438348299</v>
      </c>
      <c r="Z22">
        <v>316304.459064328</v>
      </c>
      <c r="AA22">
        <v>247390.63442084799</v>
      </c>
      <c r="AB22">
        <v>316584.36656522501</v>
      </c>
      <c r="AC22">
        <v>412910.04255735502</v>
      </c>
      <c r="AD22">
        <v>519233.90978192299</v>
      </c>
      <c r="AE22">
        <v>316929.40646188398</v>
      </c>
    </row>
    <row r="23" spans="1:31" x14ac:dyDescent="0.3">
      <c r="A23" s="4" t="s">
        <v>22</v>
      </c>
      <c r="B23">
        <v>139055.76208178399</v>
      </c>
      <c r="C23">
        <v>134720.548989706</v>
      </c>
      <c r="D23">
        <v>179289.87396783999</v>
      </c>
      <c r="E23">
        <v>176566.39928698799</v>
      </c>
      <c r="F23">
        <v>246515.495086924</v>
      </c>
      <c r="G23">
        <v>323906.32618961099</v>
      </c>
      <c r="H23">
        <v>314257.14303575899</v>
      </c>
      <c r="I23">
        <v>382037.73846623901</v>
      </c>
      <c r="J23">
        <v>321677.930602754</v>
      </c>
      <c r="K23">
        <v>314770.41029708699</v>
      </c>
      <c r="L23">
        <v>402623.466731344</v>
      </c>
      <c r="M23">
        <v>456669.32661717897</v>
      </c>
      <c r="N23">
        <v>536489.86532755103</v>
      </c>
      <c r="O23">
        <v>684249.85167581798</v>
      </c>
      <c r="P23">
        <v>725643.80719680199</v>
      </c>
      <c r="Q23">
        <v>548109.89188680996</v>
      </c>
      <c r="R23">
        <v>727333.80307898205</v>
      </c>
      <c r="S23">
        <v>780821.00514290796</v>
      </c>
      <c r="T23">
        <v>712119.85161637096</v>
      </c>
      <c r="U23">
        <v>952480.57254989899</v>
      </c>
      <c r="V23">
        <v>1163846.61284154</v>
      </c>
      <c r="W23">
        <v>1130647.77088917</v>
      </c>
      <c r="X23">
        <v>1108460.28747987</v>
      </c>
      <c r="Y23">
        <v>1039509.9732612</v>
      </c>
      <c r="Z23">
        <v>1192307.69199678</v>
      </c>
      <c r="AA23">
        <v>1040858.34405578</v>
      </c>
      <c r="AB23">
        <v>1311530.50816421</v>
      </c>
      <c r="AC23">
        <v>1425298.10984476</v>
      </c>
      <c r="AD23">
        <v>1648515.73564452</v>
      </c>
      <c r="AE23">
        <v>1306773.59653398</v>
      </c>
    </row>
    <row r="24" spans="1:31" x14ac:dyDescent="0.3">
      <c r="A24" s="4" t="s">
        <v>23</v>
      </c>
      <c r="B24">
        <v>2409.4012742551699</v>
      </c>
      <c r="C24">
        <v>2135.0215317132702</v>
      </c>
      <c r="D24">
        <v>2170.7879190543199</v>
      </c>
      <c r="E24">
        <v>3085</v>
      </c>
      <c r="F24">
        <v>6018</v>
      </c>
      <c r="G24">
        <v>3700</v>
      </c>
      <c r="H24">
        <v>15358</v>
      </c>
      <c r="I24">
        <v>7404</v>
      </c>
      <c r="J24">
        <v>5635</v>
      </c>
      <c r="K24">
        <v>3450</v>
      </c>
      <c r="L24">
        <v>8954</v>
      </c>
      <c r="M24">
        <v>16141</v>
      </c>
      <c r="N24">
        <v>33387</v>
      </c>
      <c r="O24">
        <v>33816</v>
      </c>
      <c r="P24">
        <v>64201</v>
      </c>
      <c r="Q24">
        <v>23120</v>
      </c>
      <c r="R24">
        <v>47080</v>
      </c>
      <c r="S24">
        <v>61311</v>
      </c>
      <c r="T24">
        <v>39055</v>
      </c>
      <c r="U24">
        <v>70501</v>
      </c>
      <c r="V24">
        <v>52248</v>
      </c>
      <c r="W24">
        <v>61908</v>
      </c>
      <c r="X24">
        <v>40210</v>
      </c>
      <c r="Y24">
        <v>35505</v>
      </c>
      <c r="Z24">
        <v>51984</v>
      </c>
      <c r="AA24">
        <v>29487</v>
      </c>
      <c r="AB24">
        <v>32576</v>
      </c>
      <c r="AC24">
        <v>29168</v>
      </c>
      <c r="AD24">
        <v>18435</v>
      </c>
      <c r="AE24">
        <v>28773</v>
      </c>
    </row>
    <row r="25" spans="1:31" x14ac:dyDescent="0.3">
      <c r="A25" s="4" t="s">
        <v>24</v>
      </c>
      <c r="B25">
        <v>198058.658</v>
      </c>
      <c r="C25">
        <v>197095.3125</v>
      </c>
      <c r="D25">
        <v>267660.2</v>
      </c>
      <c r="E25">
        <v>383894.02799999999</v>
      </c>
      <c r="F25">
        <v>499229.29840000003</v>
      </c>
      <c r="G25">
        <v>668896.67700000003</v>
      </c>
      <c r="H25">
        <v>1122161.4539999999</v>
      </c>
      <c r="I25">
        <v>1162077.6096000001</v>
      </c>
      <c r="J25">
        <v>934257.75520000001</v>
      </c>
      <c r="K25">
        <v>792502.71840000001</v>
      </c>
      <c r="L25">
        <v>1096728.4898999999</v>
      </c>
      <c r="M25">
        <v>1324467.2069999999</v>
      </c>
      <c r="N25">
        <v>1319149.3119000001</v>
      </c>
      <c r="O25">
        <v>1708442.0859999999</v>
      </c>
      <c r="P25">
        <v>1942113.9905999999</v>
      </c>
      <c r="Q25">
        <v>972762.24179999996</v>
      </c>
      <c r="R25">
        <v>1457253.6314999999</v>
      </c>
      <c r="S25">
        <v>1504639.622</v>
      </c>
      <c r="T25">
        <v>1446569.8125</v>
      </c>
      <c r="U25">
        <v>1741387.6980000001</v>
      </c>
      <c r="V25">
        <v>2071289.0488</v>
      </c>
      <c r="W25">
        <v>2015601.5120000001</v>
      </c>
      <c r="X25">
        <v>1958821.3589000001</v>
      </c>
      <c r="Y25">
        <v>1654734.6388000001</v>
      </c>
      <c r="Z25">
        <v>2124248.3047000002</v>
      </c>
      <c r="AA25">
        <v>1751496.571</v>
      </c>
      <c r="AB25">
        <v>2022767.1390500001</v>
      </c>
      <c r="AC25">
        <v>1992993.4639999999</v>
      </c>
      <c r="AD25">
        <v>2370817.5425999998</v>
      </c>
      <c r="AE25">
        <v>2000278.2408</v>
      </c>
    </row>
    <row r="26" spans="1:31" x14ac:dyDescent="0.3">
      <c r="A26" s="4" t="s">
        <v>25</v>
      </c>
      <c r="B26">
        <v>373521</v>
      </c>
      <c r="C26">
        <v>397720</v>
      </c>
      <c r="D26">
        <v>549513</v>
      </c>
      <c r="E26">
        <v>672397</v>
      </c>
      <c r="F26">
        <v>952893</v>
      </c>
      <c r="G26">
        <v>1250342</v>
      </c>
      <c r="H26">
        <v>1611534</v>
      </c>
      <c r="I26">
        <v>1643205</v>
      </c>
      <c r="J26">
        <v>1572681</v>
      </c>
      <c r="K26">
        <v>1335792</v>
      </c>
      <c r="L26">
        <v>1839509</v>
      </c>
      <c r="M26">
        <v>2123259</v>
      </c>
      <c r="N26">
        <v>2304013</v>
      </c>
      <c r="O26">
        <v>2791893</v>
      </c>
      <c r="P26">
        <v>3231651</v>
      </c>
      <c r="Q26">
        <v>2132433</v>
      </c>
      <c r="R26">
        <v>2917681</v>
      </c>
      <c r="S26">
        <v>3545769</v>
      </c>
      <c r="T26">
        <v>3841901</v>
      </c>
      <c r="U26">
        <v>4545361</v>
      </c>
      <c r="V26">
        <v>5864600</v>
      </c>
      <c r="W26">
        <v>6642507</v>
      </c>
      <c r="X26">
        <v>6209080</v>
      </c>
      <c r="Y26">
        <v>6570218</v>
      </c>
      <c r="Z26">
        <v>7941551</v>
      </c>
      <c r="AA26">
        <v>7539222</v>
      </c>
      <c r="AB26">
        <v>9296241</v>
      </c>
      <c r="AC26">
        <v>11834628</v>
      </c>
      <c r="AD26">
        <v>15250615</v>
      </c>
      <c r="AE26">
        <v>12054191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2C4-563A-4609-98DA-8633EA6A3F78}">
  <dimension ref="A1:AE26"/>
  <sheetViews>
    <sheetView topLeftCell="C1" workbookViewId="0">
      <selection activeCell="L26" sqref="A1:AE26"/>
    </sheetView>
  </sheetViews>
  <sheetFormatPr defaultRowHeight="14.4" x14ac:dyDescent="0.3"/>
  <sheetData>
    <row r="1" spans="1:31" x14ac:dyDescent="0.3">
      <c r="A1" s="2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29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ht="24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  <c r="T2" s="3">
        <v>2011</v>
      </c>
      <c r="U2" s="3">
        <v>2012</v>
      </c>
      <c r="V2" s="3">
        <v>2013</v>
      </c>
      <c r="W2" s="3">
        <v>2014</v>
      </c>
      <c r="X2" s="3">
        <v>2015</v>
      </c>
      <c r="Y2" s="3">
        <v>2016</v>
      </c>
      <c r="Z2" s="3">
        <v>2017</v>
      </c>
      <c r="AA2" s="3">
        <v>2018</v>
      </c>
      <c r="AB2" s="3">
        <v>2019</v>
      </c>
      <c r="AC2" s="3">
        <v>2020</v>
      </c>
      <c r="AD2" s="3">
        <v>2021</v>
      </c>
      <c r="AE2" s="3">
        <v>2022</v>
      </c>
    </row>
    <row r="3" spans="1:31" x14ac:dyDescent="0.3">
      <c r="A3" s="4" t="s">
        <v>2</v>
      </c>
      <c r="B3">
        <v>147173.476337717</v>
      </c>
      <c r="C3">
        <v>161939.72464715299</v>
      </c>
      <c r="D3">
        <v>174379.07302761299</v>
      </c>
      <c r="E3">
        <v>204596.57563035001</v>
      </c>
      <c r="F3">
        <v>191238.950983052</v>
      </c>
      <c r="G3">
        <v>194006.663558111</v>
      </c>
      <c r="H3">
        <v>222339.60172969801</v>
      </c>
      <c r="I3">
        <v>223861.78076472299</v>
      </c>
      <c r="J3">
        <v>224252.529518102</v>
      </c>
      <c r="K3">
        <v>270665.59263850999</v>
      </c>
      <c r="L3">
        <v>376270.71585352003</v>
      </c>
      <c r="M3">
        <v>450550.28779326403</v>
      </c>
      <c r="N3">
        <v>501922.43350213103</v>
      </c>
      <c r="O3">
        <v>634968.86468257802</v>
      </c>
      <c r="P3">
        <v>765498.07707147102</v>
      </c>
      <c r="Q3">
        <v>707495.77094857302</v>
      </c>
      <c r="R3">
        <v>913179.69579764898</v>
      </c>
      <c r="S3">
        <v>1037250.0450915199</v>
      </c>
      <c r="T3">
        <v>1156910.3594968601</v>
      </c>
      <c r="U3">
        <v>1261043.48936518</v>
      </c>
      <c r="V3">
        <v>1208994.5028083699</v>
      </c>
      <c r="W3">
        <v>1219123.23907006</v>
      </c>
      <c r="X3">
        <v>1223585.3963608399</v>
      </c>
      <c r="Y3">
        <v>1214377.38232372</v>
      </c>
      <c r="Z3">
        <v>1346782.5493978099</v>
      </c>
      <c r="AA3">
        <v>1308062.98226186</v>
      </c>
      <c r="AB3">
        <v>1344741.08456407</v>
      </c>
      <c r="AC3">
        <v>1468345.1001969699</v>
      </c>
      <c r="AD3">
        <v>1444447.3759373401</v>
      </c>
      <c r="AE3">
        <v>1351468.5368771499</v>
      </c>
    </row>
    <row r="4" spans="1:31" x14ac:dyDescent="0.3">
      <c r="A4" s="4" t="s">
        <v>3</v>
      </c>
      <c r="B4">
        <v>118857.48139044399</v>
      </c>
      <c r="C4">
        <v>137055.981389333</v>
      </c>
      <c r="D4">
        <v>165402.94387874301</v>
      </c>
      <c r="E4">
        <v>162097.88226272599</v>
      </c>
      <c r="F4">
        <v>163791.96054180001</v>
      </c>
      <c r="G4">
        <v>197339.37306266901</v>
      </c>
      <c r="H4">
        <v>224503.001277926</v>
      </c>
      <c r="I4">
        <v>248417.82098236799</v>
      </c>
      <c r="J4">
        <v>265346.57422125601</v>
      </c>
      <c r="K4">
        <v>319153.42610403599</v>
      </c>
      <c r="L4">
        <v>400343.18310014001</v>
      </c>
      <c r="M4">
        <v>485674.192254611</v>
      </c>
      <c r="N4">
        <v>500212.47348905599</v>
      </c>
      <c r="O4">
        <v>624960.64863458695</v>
      </c>
      <c r="P4">
        <v>747422.26483219594</v>
      </c>
      <c r="Q4">
        <v>772436.86366658995</v>
      </c>
      <c r="R4">
        <v>761452.88898108294</v>
      </c>
      <c r="S4">
        <v>729423.81026331196</v>
      </c>
      <c r="T4">
        <v>743674.46992216201</v>
      </c>
      <c r="U4">
        <v>768445.69649985305</v>
      </c>
      <c r="V4">
        <v>768067.52639432205</v>
      </c>
      <c r="W4">
        <v>686215.35554061795</v>
      </c>
      <c r="X4">
        <v>598311.45170317194</v>
      </c>
      <c r="Y4">
        <v>569802.59226119996</v>
      </c>
      <c r="Z4">
        <v>629274.89600190194</v>
      </c>
      <c r="AA4">
        <v>609832.77067210001</v>
      </c>
      <c r="AB4">
        <v>620302.474419893</v>
      </c>
      <c r="AC4">
        <v>700197.91349394899</v>
      </c>
      <c r="AD4">
        <v>674458.39851651096</v>
      </c>
      <c r="AE4">
        <v>628326.35880095698</v>
      </c>
    </row>
    <row r="5" spans="1:31" x14ac:dyDescent="0.3">
      <c r="A5" s="4" t="s">
        <v>4</v>
      </c>
      <c r="B5">
        <v>335809.13902013103</v>
      </c>
      <c r="C5">
        <v>380700.53286409</v>
      </c>
      <c r="D5">
        <v>431282.52110869699</v>
      </c>
      <c r="E5">
        <v>407175.968486859</v>
      </c>
      <c r="F5">
        <v>386825.65577049699</v>
      </c>
      <c r="G5">
        <v>404457.40702705999</v>
      </c>
      <c r="H5">
        <v>419383.28694492101</v>
      </c>
      <c r="I5">
        <v>401770.784107699</v>
      </c>
      <c r="J5">
        <v>430202.14893719798</v>
      </c>
      <c r="K5">
        <v>541953.55088266602</v>
      </c>
      <c r="L5">
        <v>731850.29117308604</v>
      </c>
      <c r="M5">
        <v>873387.04419341602</v>
      </c>
      <c r="N5">
        <v>913670.453636355</v>
      </c>
      <c r="O5">
        <v>1086741.37060176</v>
      </c>
      <c r="P5">
        <v>1430108.1924997</v>
      </c>
      <c r="Q5">
        <v>1342478.4211516399</v>
      </c>
      <c r="R5">
        <v>1232074.2324089501</v>
      </c>
      <c r="S5">
        <v>1093340.11995996</v>
      </c>
      <c r="T5">
        <v>1080121.61668198</v>
      </c>
      <c r="U5">
        <v>1046867.50917758</v>
      </c>
      <c r="V5">
        <v>953359.06885794899</v>
      </c>
      <c r="W5">
        <v>927021.33864383295</v>
      </c>
      <c r="X5">
        <v>841077.23573380394</v>
      </c>
      <c r="Y5">
        <v>876181.32401707501</v>
      </c>
      <c r="Z5">
        <v>973628.73373117403</v>
      </c>
      <c r="AA5">
        <v>906334.38483720797</v>
      </c>
      <c r="AB5">
        <v>974160.49894172605</v>
      </c>
      <c r="AC5">
        <v>1103760.9677635899</v>
      </c>
      <c r="AD5">
        <v>1077107.4935438901</v>
      </c>
      <c r="AE5">
        <v>1023643.77726768</v>
      </c>
    </row>
    <row r="6" spans="1:31" x14ac:dyDescent="0.3">
      <c r="A6" s="4" t="s">
        <v>5</v>
      </c>
      <c r="B6">
        <v>386955.366757276</v>
      </c>
      <c r="C6">
        <v>387114.01102910499</v>
      </c>
      <c r="D6">
        <v>430301.62104153202</v>
      </c>
      <c r="E6">
        <v>449359.52255750599</v>
      </c>
      <c r="F6">
        <v>475019.64320500701</v>
      </c>
      <c r="G6">
        <v>487914.94299630501</v>
      </c>
      <c r="H6">
        <v>457978.907379699</v>
      </c>
      <c r="I6">
        <v>433413.92808519298</v>
      </c>
      <c r="J6">
        <v>457379.64577935898</v>
      </c>
      <c r="K6">
        <v>497447.868154114</v>
      </c>
      <c r="L6">
        <v>552387.17927360896</v>
      </c>
      <c r="M6">
        <v>577851.07576839195</v>
      </c>
      <c r="N6">
        <v>614835.00002898101</v>
      </c>
      <c r="O6">
        <v>670224.15133912896</v>
      </c>
      <c r="P6">
        <v>786355.30609385401</v>
      </c>
      <c r="Q6">
        <v>768266.55193091696</v>
      </c>
      <c r="R6">
        <v>920332.92574322002</v>
      </c>
      <c r="S6">
        <v>1050238.5620989299</v>
      </c>
      <c r="T6">
        <v>1169459.7921380401</v>
      </c>
      <c r="U6">
        <v>1377073.62869305</v>
      </c>
      <c r="V6">
        <v>1359122.7041390999</v>
      </c>
      <c r="W6">
        <v>1439510.4563486399</v>
      </c>
      <c r="X6">
        <v>1443574.77847477</v>
      </c>
      <c r="Y6">
        <v>1570779.1681325401</v>
      </c>
      <c r="Z6">
        <v>1789345.37009968</v>
      </c>
      <c r="AA6">
        <v>1790654.0002749299</v>
      </c>
      <c r="AB6">
        <v>2120097.3746398902</v>
      </c>
      <c r="AC6">
        <v>2378070.7825458199</v>
      </c>
      <c r="AD6">
        <v>2534475.27076519</v>
      </c>
      <c r="AE6">
        <v>2577028.3289611801</v>
      </c>
    </row>
    <row r="7" spans="1:31" x14ac:dyDescent="0.3">
      <c r="A7" s="4" t="s">
        <v>6</v>
      </c>
      <c r="B7">
        <v>137565.718964603</v>
      </c>
      <c r="C7">
        <v>127172.177804826</v>
      </c>
      <c r="D7">
        <v>139104.681372197</v>
      </c>
      <c r="E7">
        <v>153339.879873561</v>
      </c>
      <c r="F7">
        <v>155090.43877028799</v>
      </c>
      <c r="G7">
        <v>181801.676540071</v>
      </c>
      <c r="H7">
        <v>171396.22015816899</v>
      </c>
      <c r="I7">
        <v>166439.140182804</v>
      </c>
      <c r="J7">
        <v>169667.14782172101</v>
      </c>
      <c r="K7">
        <v>208159.882973614</v>
      </c>
      <c r="L7">
        <v>270088.86075468</v>
      </c>
      <c r="M7">
        <v>317566.74266544002</v>
      </c>
      <c r="N7">
        <v>322166.27176921</v>
      </c>
      <c r="O7">
        <v>402691.099093667</v>
      </c>
      <c r="P7">
        <v>514820.70637091203</v>
      </c>
      <c r="Q7">
        <v>529902.36021320603</v>
      </c>
      <c r="R7">
        <v>548763.75946400897</v>
      </c>
      <c r="S7">
        <v>547996.20412279898</v>
      </c>
      <c r="T7">
        <v>521511.79376423702</v>
      </c>
      <c r="U7">
        <v>532762.47410849005</v>
      </c>
      <c r="V7">
        <v>556090.246671275</v>
      </c>
      <c r="W7">
        <v>485771.58834968199</v>
      </c>
      <c r="X7">
        <v>422513.42469674599</v>
      </c>
      <c r="Y7">
        <v>424282.74771047098</v>
      </c>
      <c r="Z7">
        <v>490382.61199485301</v>
      </c>
      <c r="AA7">
        <v>436956.784797239</v>
      </c>
      <c r="AB7">
        <v>436950.067801609</v>
      </c>
      <c r="AC7">
        <v>531546.72592534602</v>
      </c>
      <c r="AD7">
        <v>492469.89057585801</v>
      </c>
      <c r="AE7">
        <v>400077.65409663599</v>
      </c>
    </row>
    <row r="8" spans="1:31" x14ac:dyDescent="0.3">
      <c r="A8" s="4" t="s">
        <v>7</v>
      </c>
      <c r="B8">
        <v>77732.340410983801</v>
      </c>
      <c r="C8">
        <v>89099.560845547094</v>
      </c>
      <c r="D8">
        <v>88012.777197988995</v>
      </c>
      <c r="E8">
        <v>85473.383808724204</v>
      </c>
      <c r="F8">
        <v>80344.718848541306</v>
      </c>
      <c r="G8">
        <v>89920.888252819306</v>
      </c>
      <c r="H8">
        <v>84900.701651900003</v>
      </c>
      <c r="I8">
        <v>99527.952918219104</v>
      </c>
      <c r="J8">
        <v>108350.966073452</v>
      </c>
      <c r="K8">
        <v>129999.3707177</v>
      </c>
      <c r="L8">
        <v>156084.90022958501</v>
      </c>
      <c r="M8">
        <v>192416.401246536</v>
      </c>
      <c r="N8">
        <v>182828.615505644</v>
      </c>
      <c r="O8">
        <v>227433.07769424299</v>
      </c>
      <c r="P8">
        <v>265105.66456526</v>
      </c>
      <c r="Q8">
        <v>271289.54026608198</v>
      </c>
      <c r="R8">
        <v>349006.526949986</v>
      </c>
      <c r="S8">
        <v>391286.84638261201</v>
      </c>
      <c r="T8">
        <v>472948.90766829799</v>
      </c>
      <c r="U8">
        <v>539098.43119064101</v>
      </c>
      <c r="V8">
        <v>531101.46453202295</v>
      </c>
      <c r="W8">
        <v>489693.22711492202</v>
      </c>
      <c r="X8">
        <v>418808.78657865798</v>
      </c>
      <c r="Y8">
        <v>394918.59243737999</v>
      </c>
      <c r="Z8">
        <v>422543.983941068</v>
      </c>
      <c r="AA8">
        <v>524487.69658216496</v>
      </c>
      <c r="AB8">
        <v>537026.99415560905</v>
      </c>
      <c r="AC8">
        <v>581348.62508517504</v>
      </c>
      <c r="AD8">
        <v>518267.59751558001</v>
      </c>
      <c r="AE8">
        <v>540116.70165165095</v>
      </c>
    </row>
    <row r="9" spans="1:31" x14ac:dyDescent="0.3">
      <c r="A9" s="4" t="s">
        <v>8</v>
      </c>
      <c r="B9">
        <v>752186.34320350003</v>
      </c>
      <c r="C9">
        <v>804545.02028584399</v>
      </c>
      <c r="D9">
        <v>925156.23083496303</v>
      </c>
      <c r="E9">
        <v>887250.723243371</v>
      </c>
      <c r="F9">
        <v>890987.918522491</v>
      </c>
      <c r="G9">
        <v>991271.643832303</v>
      </c>
      <c r="H9">
        <v>993164.71464439796</v>
      </c>
      <c r="I9">
        <v>1091528.4453410499</v>
      </c>
      <c r="J9">
        <v>1257677.3820914801</v>
      </c>
      <c r="K9">
        <v>1578943.37586056</v>
      </c>
      <c r="L9">
        <v>2109505.86964009</v>
      </c>
      <c r="M9">
        <v>2630142.2710448401</v>
      </c>
      <c r="N9">
        <v>2818924.4151144498</v>
      </c>
      <c r="O9">
        <v>3528559.28201458</v>
      </c>
      <c r="P9">
        <v>4547056.4107785197</v>
      </c>
      <c r="Q9">
        <v>4599079.8694538102</v>
      </c>
      <c r="R9">
        <v>4946622.3172719497</v>
      </c>
      <c r="S9">
        <v>4963036.2832091199</v>
      </c>
      <c r="T9">
        <v>4747328.5183240101</v>
      </c>
      <c r="U9">
        <v>5010509.8421269497</v>
      </c>
      <c r="V9">
        <v>5143339.0496658804</v>
      </c>
      <c r="W9">
        <v>5002149.4367409898</v>
      </c>
      <c r="X9">
        <v>4582126.1382361501</v>
      </c>
      <c r="Y9">
        <v>4571702.6574552003</v>
      </c>
      <c r="Z9">
        <v>5317640.6427836502</v>
      </c>
      <c r="AA9">
        <v>5533852.0556509402</v>
      </c>
      <c r="AB9">
        <v>5931550.1854836699</v>
      </c>
      <c r="AC9">
        <v>7009545.8929168601</v>
      </c>
      <c r="AD9">
        <v>6795912.6297504799</v>
      </c>
      <c r="AE9">
        <v>6341523.5315260403</v>
      </c>
    </row>
    <row r="10" spans="1:31" x14ac:dyDescent="0.3">
      <c r="A10" s="4" t="s">
        <v>9</v>
      </c>
      <c r="B10">
        <v>916600.19846764195</v>
      </c>
      <c r="C10">
        <v>1053139.55506441</v>
      </c>
      <c r="D10">
        <v>1324221.1227877501</v>
      </c>
      <c r="E10">
        <v>1369862.96347705</v>
      </c>
      <c r="F10">
        <v>1287509.9652007599</v>
      </c>
      <c r="G10">
        <v>1659584.03835509</v>
      </c>
      <c r="H10">
        <v>1740810.23381093</v>
      </c>
      <c r="I10">
        <v>1864379.88718388</v>
      </c>
      <c r="J10">
        <v>1932322.10965813</v>
      </c>
      <c r="K10">
        <v>2482504.2599951401</v>
      </c>
      <c r="L10">
        <v>3043576.7782941698</v>
      </c>
      <c r="M10">
        <v>3534308.2339498098</v>
      </c>
      <c r="N10">
        <v>3396501.2808702998</v>
      </c>
      <c r="O10">
        <v>3971704.6156201102</v>
      </c>
      <c r="P10">
        <v>4827264.2561648302</v>
      </c>
      <c r="Q10">
        <v>4839972.1684942404</v>
      </c>
      <c r="R10">
        <v>4809463.3162503997</v>
      </c>
      <c r="S10">
        <v>4926205.6457582703</v>
      </c>
      <c r="T10">
        <v>5030998.5232612202</v>
      </c>
      <c r="U10">
        <v>5180481.9664189704</v>
      </c>
      <c r="V10">
        <v>4907931.5726560196</v>
      </c>
      <c r="W10">
        <v>4620272.6017703302</v>
      </c>
      <c r="X10">
        <v>4179863.6291804798</v>
      </c>
      <c r="Y10">
        <v>4205936.4664213201</v>
      </c>
      <c r="Z10">
        <v>4744284.3817676604</v>
      </c>
      <c r="AA10">
        <v>4650815.7876163898</v>
      </c>
      <c r="AB10">
        <v>4677889.2512595598</v>
      </c>
      <c r="AC10">
        <v>5583511.21717392</v>
      </c>
      <c r="AD10">
        <v>5737884.8335271403</v>
      </c>
      <c r="AE10">
        <v>5243539.9980144296</v>
      </c>
    </row>
    <row r="11" spans="1:31" x14ac:dyDescent="0.3">
      <c r="A11" s="4" t="s">
        <v>10</v>
      </c>
      <c r="B11">
        <v>40960.864955999998</v>
      </c>
      <c r="C11">
        <v>44380.864955999998</v>
      </c>
      <c r="D11">
        <v>50302.864955999998</v>
      </c>
      <c r="E11">
        <v>52411.864955999998</v>
      </c>
      <c r="F11">
        <v>60011.864955999998</v>
      </c>
      <c r="G11">
        <v>66599.792477452298</v>
      </c>
      <c r="H11">
        <v>72210.110393131996</v>
      </c>
      <c r="I11">
        <v>84761.092491413801</v>
      </c>
      <c r="J11">
        <v>98240.848675036206</v>
      </c>
      <c r="K11">
        <v>144981.971351744</v>
      </c>
      <c r="L11">
        <v>204482.12982829299</v>
      </c>
      <c r="M11">
        <v>252918.89158145501</v>
      </c>
      <c r="N11">
        <v>263937.16978177102</v>
      </c>
      <c r="O11">
        <v>331608.16361088498</v>
      </c>
      <c r="P11">
        <v>452431.18833183899</v>
      </c>
      <c r="Q11">
        <v>504322.29373623402</v>
      </c>
      <c r="R11">
        <v>593521.98109188303</v>
      </c>
      <c r="S11">
        <v>548942.98464362603</v>
      </c>
      <c r="T11">
        <v>495091.90551744401</v>
      </c>
      <c r="U11">
        <v>588007.61400068598</v>
      </c>
      <c r="V11">
        <v>579501.53855061601</v>
      </c>
      <c r="W11">
        <v>505724.718313705</v>
      </c>
      <c r="X11">
        <v>471810.49249689199</v>
      </c>
      <c r="Y11">
        <v>445178.04980136798</v>
      </c>
      <c r="Z11">
        <v>474556.55716712499</v>
      </c>
      <c r="AA11">
        <v>466713.16913752898</v>
      </c>
      <c r="AB11">
        <v>493405.03009461699</v>
      </c>
      <c r="AC11">
        <v>596584.42842472496</v>
      </c>
      <c r="AD11">
        <v>619027.41201382095</v>
      </c>
      <c r="AE11">
        <v>575132.49601874501</v>
      </c>
    </row>
    <row r="12" spans="1:31" x14ac:dyDescent="0.3">
      <c r="A12" s="4" t="s">
        <v>11</v>
      </c>
      <c r="B12">
        <v>4026.2575665997301</v>
      </c>
      <c r="C12">
        <v>4085.5291888010602</v>
      </c>
      <c r="D12">
        <v>4264.7719235499699</v>
      </c>
      <c r="E12">
        <v>4431.6683610445698</v>
      </c>
      <c r="F12">
        <v>4607.3989324867498</v>
      </c>
      <c r="G12">
        <v>5838.3523958811602</v>
      </c>
      <c r="H12">
        <v>6767.0839226508097</v>
      </c>
      <c r="I12">
        <v>8518.4042079658793</v>
      </c>
      <c r="J12">
        <v>9061.87471454564</v>
      </c>
      <c r="K12">
        <v>11083.762871192101</v>
      </c>
      <c r="L12">
        <v>16041.611063773</v>
      </c>
      <c r="M12">
        <v>26534.788669379599</v>
      </c>
      <c r="N12">
        <v>45348.7624420434</v>
      </c>
      <c r="O12">
        <v>70498.687963213102</v>
      </c>
      <c r="P12">
        <v>110500.966670428</v>
      </c>
      <c r="Q12">
        <v>112314.504630157</v>
      </c>
      <c r="R12">
        <v>109543.724892547</v>
      </c>
      <c r="S12">
        <v>109272.90148992201</v>
      </c>
      <c r="T12">
        <v>99141.310023820493</v>
      </c>
      <c r="U12">
        <v>91438.205201500503</v>
      </c>
      <c r="V12">
        <v>95556.299767071396</v>
      </c>
      <c r="W12">
        <v>85911.510975133104</v>
      </c>
      <c r="X12">
        <v>21593.3074962065</v>
      </c>
      <c r="Y12">
        <v>15703.6228373472</v>
      </c>
      <c r="Z12">
        <v>15994.854707868401</v>
      </c>
      <c r="AA12">
        <v>15546.1910250283</v>
      </c>
      <c r="AB12">
        <v>14674.437816695499</v>
      </c>
      <c r="AC12">
        <v>15356.293050132999</v>
      </c>
      <c r="AD12">
        <v>17049.842497003301</v>
      </c>
      <c r="AE12">
        <v>16432.830039071599</v>
      </c>
    </row>
    <row r="13" spans="1:31" x14ac:dyDescent="0.3">
      <c r="A13" s="4" t="s">
        <v>12</v>
      </c>
      <c r="B13">
        <v>55185.759439169</v>
      </c>
      <c r="C13">
        <v>61251.293531009302</v>
      </c>
      <c r="D13">
        <v>95826.262104997601</v>
      </c>
      <c r="E13">
        <v>123152.071599972</v>
      </c>
      <c r="F13">
        <v>151112.15848851099</v>
      </c>
      <c r="G13">
        <v>228820.6765</v>
      </c>
      <c r="H13">
        <v>292234.12160000001</v>
      </c>
      <c r="I13">
        <v>296082.30849999998</v>
      </c>
      <c r="J13">
        <v>348848.00771149102</v>
      </c>
      <c r="K13">
        <v>470206.80067195703</v>
      </c>
      <c r="L13">
        <v>695414.11499999999</v>
      </c>
      <c r="M13">
        <v>972670.16159999999</v>
      </c>
      <c r="N13">
        <v>1152137.16300783</v>
      </c>
      <c r="O13">
        <v>1554107.412</v>
      </c>
      <c r="P13">
        <v>1995333.9111953799</v>
      </c>
      <c r="Q13">
        <v>2070755.7697441799</v>
      </c>
      <c r="R13">
        <v>2048872.93696488</v>
      </c>
      <c r="S13">
        <v>1806078.3526622099</v>
      </c>
      <c r="T13">
        <v>1865128.4313847399</v>
      </c>
      <c r="U13">
        <v>1829612.08516791</v>
      </c>
      <c r="V13">
        <v>1892522.04858899</v>
      </c>
      <c r="W13">
        <v>1815826.8172285301</v>
      </c>
      <c r="X13">
        <v>1715826.1644381001</v>
      </c>
      <c r="Y13">
        <v>1636778.5586204701</v>
      </c>
      <c r="Z13">
        <v>1869634.8127338199</v>
      </c>
      <c r="AA13">
        <v>1971534.14041759</v>
      </c>
      <c r="AB13">
        <v>2186115.6052164198</v>
      </c>
      <c r="AC13">
        <v>2526013.7281933599</v>
      </c>
      <c r="AD13">
        <v>2594879.7752744001</v>
      </c>
      <c r="AE13">
        <v>2415595.4543639398</v>
      </c>
    </row>
    <row r="14" spans="1:31" x14ac:dyDescent="0.3">
      <c r="A14" s="4" t="s">
        <v>13</v>
      </c>
      <c r="B14">
        <v>470654.981545004</v>
      </c>
      <c r="C14">
        <v>516564.68547446502</v>
      </c>
      <c r="D14">
        <v>568731.77420131397</v>
      </c>
      <c r="E14">
        <v>660780.60577774805</v>
      </c>
      <c r="F14">
        <v>695801.06650030403</v>
      </c>
      <c r="G14">
        <v>844271.31435893802</v>
      </c>
      <c r="H14">
        <v>803397.34393427498</v>
      </c>
      <c r="I14">
        <v>869818.85395957704</v>
      </c>
      <c r="J14">
        <v>844688.69980309904</v>
      </c>
      <c r="K14">
        <v>1070147.57578727</v>
      </c>
      <c r="L14">
        <v>1364356.25747708</v>
      </c>
      <c r="M14">
        <v>1572669.55338764</v>
      </c>
      <c r="N14">
        <v>1594572.16868786</v>
      </c>
      <c r="O14">
        <v>1992759.7428804401</v>
      </c>
      <c r="P14">
        <v>2405089.01300911</v>
      </c>
      <c r="Q14">
        <v>2210283.1657515801</v>
      </c>
      <c r="R14">
        <v>2363442.9712375598</v>
      </c>
      <c r="S14">
        <v>2270957.7967384402</v>
      </c>
      <c r="T14">
        <v>2196145.3043929101</v>
      </c>
      <c r="U14">
        <v>2335445.2235147902</v>
      </c>
      <c r="V14">
        <v>2425724.2882947102</v>
      </c>
      <c r="W14">
        <v>2267765.6439700499</v>
      </c>
      <c r="X14">
        <v>2107542.77518768</v>
      </c>
      <c r="Y14">
        <v>2042795.9957540601</v>
      </c>
      <c r="Z14">
        <v>2377016.1292954702</v>
      </c>
      <c r="AA14">
        <v>2273361.7450278201</v>
      </c>
      <c r="AB14">
        <v>2323511.0608167001</v>
      </c>
      <c r="AC14">
        <v>2647524.07730495</v>
      </c>
      <c r="AD14">
        <v>2591034.5134792398</v>
      </c>
      <c r="AE14">
        <v>2425607.9790606298</v>
      </c>
    </row>
    <row r="15" spans="1:31" x14ac:dyDescent="0.3">
      <c r="A15" s="4" t="s">
        <v>14</v>
      </c>
      <c r="B15">
        <v>1382004.7883514699</v>
      </c>
      <c r="C15">
        <v>1465171.63130259</v>
      </c>
      <c r="D15">
        <v>1473950.20411451</v>
      </c>
      <c r="E15">
        <v>1369265.20697859</v>
      </c>
      <c r="F15">
        <v>1399381.1187044</v>
      </c>
      <c r="G15">
        <v>1427798.91706246</v>
      </c>
      <c r="H15">
        <v>1266480.00976732</v>
      </c>
      <c r="I15">
        <v>1207912.03441867</v>
      </c>
      <c r="J15">
        <v>1091515.36600644</v>
      </c>
      <c r="K15">
        <v>1168144.24008443</v>
      </c>
      <c r="L15">
        <v>1328643.5623218601</v>
      </c>
      <c r="M15">
        <v>1531453.1287501</v>
      </c>
      <c r="N15">
        <v>1498910.501653</v>
      </c>
      <c r="O15">
        <v>1491024.1996929001</v>
      </c>
      <c r="P15">
        <v>1737991.3646833</v>
      </c>
      <c r="Q15">
        <v>2186547.2999217901</v>
      </c>
      <c r="R15">
        <v>2026590.9589229799</v>
      </c>
      <c r="S15">
        <v>2467786.1966535398</v>
      </c>
      <c r="T15">
        <v>2921451.43700107</v>
      </c>
      <c r="U15">
        <v>2906072.0300852498</v>
      </c>
      <c r="V15">
        <v>2767546.9077104498</v>
      </c>
      <c r="W15">
        <v>2710123.9020469198</v>
      </c>
      <c r="X15">
        <v>2936332.9802087601</v>
      </c>
      <c r="Y15">
        <v>3379659.6736596599</v>
      </c>
      <c r="Z15">
        <v>3554719.9926136802</v>
      </c>
      <c r="AA15">
        <v>3960330.8368603899</v>
      </c>
      <c r="AB15">
        <v>4178655.76442627</v>
      </c>
      <c r="AC15">
        <v>4703112.6655392405</v>
      </c>
      <c r="AD15">
        <v>4547653.8352539102</v>
      </c>
      <c r="AE15">
        <v>4294956.2606743798</v>
      </c>
    </row>
    <row r="16" spans="1:31" x14ac:dyDescent="0.3">
      <c r="A16" s="4" t="s">
        <v>15</v>
      </c>
      <c r="B16">
        <v>132416.28</v>
      </c>
      <c r="C16">
        <v>141193.75</v>
      </c>
      <c r="D16">
        <v>166048.35</v>
      </c>
      <c r="E16">
        <v>159046.57232572499</v>
      </c>
      <c r="F16">
        <v>152253.00821872099</v>
      </c>
      <c r="G16">
        <v>166600.00017209401</v>
      </c>
      <c r="H16">
        <v>179686.11489658299</v>
      </c>
      <c r="I16">
        <v>166578.351725557</v>
      </c>
      <c r="J16">
        <v>164159.67156844999</v>
      </c>
      <c r="K16">
        <v>161712.89583764999</v>
      </c>
      <c r="L16">
        <v>168811.13247438701</v>
      </c>
      <c r="M16">
        <v>177468.83327139501</v>
      </c>
      <c r="N16">
        <v>187037.78367773199</v>
      </c>
      <c r="O16">
        <v>188341.28666375901</v>
      </c>
      <c r="P16">
        <v>212050.660542834</v>
      </c>
      <c r="Q16">
        <v>221999.63095914299</v>
      </c>
      <c r="R16">
        <v>198552.298093511</v>
      </c>
      <c r="S16">
        <v>257070.95260737499</v>
      </c>
      <c r="T16">
        <v>298257.04700054898</v>
      </c>
      <c r="U16">
        <v>369769.49684968998</v>
      </c>
      <c r="V16">
        <v>416848.05846377299</v>
      </c>
      <c r="W16">
        <v>446568.88751988101</v>
      </c>
      <c r="X16">
        <v>440106.95539188402</v>
      </c>
      <c r="Y16">
        <v>423980.41992367199</v>
      </c>
      <c r="Z16">
        <v>450558.77978169802</v>
      </c>
      <c r="AA16">
        <v>452567.77229986101</v>
      </c>
      <c r="AB16">
        <v>488381.29587084998</v>
      </c>
      <c r="AC16">
        <v>498127.57071052998</v>
      </c>
      <c r="AD16">
        <v>473862.92395446001</v>
      </c>
      <c r="AE16">
        <v>454746.68235563597</v>
      </c>
    </row>
    <row r="17" spans="1:31" x14ac:dyDescent="0.3">
      <c r="A17" s="4" t="s">
        <v>16</v>
      </c>
      <c r="B17">
        <v>269556.16260528902</v>
      </c>
      <c r="C17">
        <v>286488.12047415198</v>
      </c>
      <c r="D17">
        <v>340897.42015023</v>
      </c>
      <c r="E17">
        <v>353332.00435700797</v>
      </c>
      <c r="F17">
        <v>374966.00740799902</v>
      </c>
      <c r="G17">
        <v>500655.14208466897</v>
      </c>
      <c r="H17">
        <v>513116.09015339997</v>
      </c>
      <c r="I17">
        <v>576671.41578939999</v>
      </c>
      <c r="J17">
        <v>676245.51648820005</v>
      </c>
      <c r="K17">
        <v>910223.91073680006</v>
      </c>
      <c r="L17">
        <v>1664764.0464423599</v>
      </c>
      <c r="M17">
        <v>1981346.9880613701</v>
      </c>
      <c r="N17">
        <v>1917680.8395412699</v>
      </c>
      <c r="O17">
        <v>2487197.7034929902</v>
      </c>
      <c r="P17">
        <v>3116717.3150103302</v>
      </c>
      <c r="Q17">
        <v>2921609.6656679902</v>
      </c>
      <c r="R17">
        <v>3071163.7429318801</v>
      </c>
      <c r="S17">
        <v>3026839.6784878601</v>
      </c>
      <c r="T17">
        <v>3095619.3446782799</v>
      </c>
      <c r="U17">
        <v>3173744.1494869399</v>
      </c>
      <c r="V17">
        <v>3187017.2443257198</v>
      </c>
      <c r="W17">
        <v>3053882.3444065698</v>
      </c>
      <c r="X17">
        <v>2838192.1403077198</v>
      </c>
      <c r="Y17">
        <v>2767605.2535534799</v>
      </c>
      <c r="Z17">
        <v>2944106.8356598001</v>
      </c>
      <c r="AA17">
        <v>2822956.1521596601</v>
      </c>
      <c r="AB17">
        <v>2859332.22161505</v>
      </c>
      <c r="AC17">
        <v>3048826.6929084398</v>
      </c>
      <c r="AD17">
        <v>2819819.8125405898</v>
      </c>
      <c r="AE17">
        <v>2636086.8781284099</v>
      </c>
    </row>
    <row r="18" spans="1:31" x14ac:dyDescent="0.3">
      <c r="A18" s="4" t="s">
        <v>17</v>
      </c>
      <c r="B18">
        <v>29376.67374858</v>
      </c>
      <c r="C18">
        <v>35373.479999999901</v>
      </c>
      <c r="D18">
        <v>35493.788999999902</v>
      </c>
      <c r="E18">
        <v>39511.29</v>
      </c>
      <c r="F18">
        <v>33473.926500000001</v>
      </c>
      <c r="G18">
        <v>31997.0563</v>
      </c>
      <c r="H18">
        <v>33154.931599999902</v>
      </c>
      <c r="I18">
        <v>41175.8678</v>
      </c>
      <c r="J18">
        <v>43693.148999999998</v>
      </c>
      <c r="K18">
        <v>54808.1234999999</v>
      </c>
      <c r="L18">
        <v>70228.599999999904</v>
      </c>
      <c r="M18">
        <v>87946.528000000093</v>
      </c>
      <c r="N18">
        <v>88552.018400000001</v>
      </c>
      <c r="O18">
        <v>105977.47289999999</v>
      </c>
      <c r="P18">
        <v>129415.89599999999</v>
      </c>
      <c r="Q18">
        <v>105687.322</v>
      </c>
      <c r="R18">
        <v>130411.9117</v>
      </c>
      <c r="S18">
        <v>145298.9418</v>
      </c>
      <c r="T18">
        <v>148275.483299999</v>
      </c>
      <c r="U18">
        <v>160336.72824999999</v>
      </c>
      <c r="V18">
        <v>154158.2304</v>
      </c>
      <c r="W18">
        <v>155400.1697</v>
      </c>
      <c r="X18">
        <v>142124.07680000001</v>
      </c>
      <c r="Y18">
        <v>155224.02620026501</v>
      </c>
      <c r="Z18">
        <v>164719.65933286</v>
      </c>
      <c r="AA18">
        <v>161206.36412459699</v>
      </c>
      <c r="AB18">
        <v>167875.134698276</v>
      </c>
      <c r="AC18">
        <v>181914.43231914399</v>
      </c>
      <c r="AD18">
        <v>182573.61481177801</v>
      </c>
      <c r="AE18">
        <v>177665.50522648101</v>
      </c>
    </row>
    <row r="19" spans="1:31" x14ac:dyDescent="0.3">
      <c r="A19" s="4" t="s">
        <v>18</v>
      </c>
      <c r="B19">
        <v>44283.991074069701</v>
      </c>
      <c r="C19">
        <v>45416.569381678499</v>
      </c>
      <c r="D19">
        <v>50209.655981655</v>
      </c>
      <c r="E19">
        <v>61533.673565475903</v>
      </c>
      <c r="F19">
        <v>71112.724534621695</v>
      </c>
      <c r="G19">
        <v>83800.566347218104</v>
      </c>
      <c r="H19">
        <v>95648.389381033601</v>
      </c>
      <c r="I19">
        <v>124134.845839298</v>
      </c>
      <c r="J19">
        <v>126540.239221767</v>
      </c>
      <c r="K19">
        <v>179667.62666288301</v>
      </c>
      <c r="L19">
        <v>222192.11559376499</v>
      </c>
      <c r="M19">
        <v>248645.150674203</v>
      </c>
      <c r="N19">
        <v>262624.57371677202</v>
      </c>
      <c r="O19">
        <v>392907.82481329498</v>
      </c>
      <c r="P19">
        <v>521432.585886663</v>
      </c>
      <c r="Q19">
        <v>538359.98245566897</v>
      </c>
      <c r="R19">
        <v>499646.94950046798</v>
      </c>
      <c r="S19">
        <v>529363.32513503102</v>
      </c>
      <c r="T19">
        <v>532873.51728558203</v>
      </c>
      <c r="U19">
        <v>586128.165839514</v>
      </c>
      <c r="V19">
        <v>595913.37618445198</v>
      </c>
      <c r="W19">
        <v>553533.22402041196</v>
      </c>
      <c r="X19">
        <v>507524.10938792198</v>
      </c>
      <c r="Y19">
        <v>522909.52102677402</v>
      </c>
      <c r="Z19">
        <v>560561.34398103599</v>
      </c>
      <c r="AA19">
        <v>554926.03317645297</v>
      </c>
      <c r="AB19">
        <v>586411.68069070205</v>
      </c>
      <c r="AC19">
        <v>640273.74892845796</v>
      </c>
      <c r="AD19">
        <v>644775.30374015297</v>
      </c>
      <c r="AE19">
        <v>687945.690244528</v>
      </c>
    </row>
    <row r="20" spans="1:31" x14ac:dyDescent="0.3">
      <c r="A20" s="4" t="s">
        <v>19</v>
      </c>
      <c r="B20">
        <v>35217.346003563602</v>
      </c>
      <c r="C20">
        <v>47402.359955155604</v>
      </c>
      <c r="D20">
        <v>62389.772000554003</v>
      </c>
      <c r="E20">
        <v>73025.714705693899</v>
      </c>
      <c r="F20">
        <v>87173.580682827698</v>
      </c>
      <c r="G20">
        <v>111779.39144647701</v>
      </c>
      <c r="H20">
        <v>117859.51854784699</v>
      </c>
      <c r="I20">
        <v>140556.36104547899</v>
      </c>
      <c r="J20">
        <v>163307.56393229699</v>
      </c>
      <c r="K20">
        <v>216156.076076386</v>
      </c>
      <c r="L20">
        <v>281043.68593171699</v>
      </c>
      <c r="M20">
        <v>329633.36664620897</v>
      </c>
      <c r="N20">
        <v>319653.39934410102</v>
      </c>
      <c r="O20">
        <v>389868.75370823598</v>
      </c>
      <c r="P20">
        <v>481842.23273200699</v>
      </c>
      <c r="Q20">
        <v>479972.29627389798</v>
      </c>
      <c r="R20">
        <v>539302.47548596899</v>
      </c>
      <c r="S20">
        <v>512983.887134897</v>
      </c>
      <c r="T20">
        <v>465560.36268002202</v>
      </c>
      <c r="U20">
        <v>482978.55988543702</v>
      </c>
      <c r="V20">
        <v>471767.837065887</v>
      </c>
      <c r="W20">
        <v>435012.56286744901</v>
      </c>
      <c r="X20">
        <v>381800.14628496399</v>
      </c>
      <c r="Y20">
        <v>362264.67556273501</v>
      </c>
      <c r="Z20">
        <v>415908.94823515101</v>
      </c>
      <c r="AA20">
        <v>403944.091353797</v>
      </c>
      <c r="AB20">
        <v>404104.63516948302</v>
      </c>
      <c r="AC20">
        <v>444515.22753119702</v>
      </c>
      <c r="AD20">
        <v>406372.99268551002</v>
      </c>
      <c r="AE20">
        <v>373713.136218698</v>
      </c>
    </row>
    <row r="21" spans="1:31" x14ac:dyDescent="0.3">
      <c r="A21" s="4" t="s">
        <v>20</v>
      </c>
      <c r="B21">
        <v>203140.12206635199</v>
      </c>
      <c r="C21">
        <v>202206.37653756599</v>
      </c>
      <c r="D21">
        <v>242213.72491340499</v>
      </c>
      <c r="E21">
        <v>253592.87518566701</v>
      </c>
      <c r="F21">
        <v>264091.18284776801</v>
      </c>
      <c r="G21">
        <v>334703.076507886</v>
      </c>
      <c r="H21">
        <v>390483.23369303002</v>
      </c>
      <c r="I21">
        <v>452257.79487405199</v>
      </c>
      <c r="J21">
        <v>476405.305644306</v>
      </c>
      <c r="K21">
        <v>665296.71412619902</v>
      </c>
      <c r="L21">
        <v>895491.699329269</v>
      </c>
      <c r="M21">
        <v>1129758.00062931</v>
      </c>
      <c r="N21">
        <v>1250575.21662055</v>
      </c>
      <c r="O21">
        <v>1674407.88580372</v>
      </c>
      <c r="P21">
        <v>2119957.6030521002</v>
      </c>
      <c r="Q21">
        <v>2113614.7368512498</v>
      </c>
      <c r="R21">
        <v>2272268.4726730799</v>
      </c>
      <c r="S21">
        <v>2039043.73296638</v>
      </c>
      <c r="T21">
        <v>2012031.3381733501</v>
      </c>
      <c r="U21">
        <v>2008084.20453959</v>
      </c>
      <c r="V21">
        <v>1980636.45507664</v>
      </c>
      <c r="W21">
        <v>1854683.64771924</v>
      </c>
      <c r="X21">
        <v>1739186.27550896</v>
      </c>
      <c r="Y21">
        <v>1743034.5519809099</v>
      </c>
      <c r="Z21">
        <v>2073651.6352418701</v>
      </c>
      <c r="AA21">
        <v>2053436.74275085</v>
      </c>
      <c r="AB21">
        <v>2122523.3380690198</v>
      </c>
      <c r="AC21">
        <v>2456804.82990854</v>
      </c>
      <c r="AD21">
        <v>2365864.2732643099</v>
      </c>
      <c r="AE21">
        <v>2198431.79930428</v>
      </c>
    </row>
    <row r="22" spans="1:31" x14ac:dyDescent="0.3">
      <c r="A22" s="4" t="s">
        <v>21</v>
      </c>
      <c r="B22">
        <v>181467.06318396601</v>
      </c>
      <c r="C22">
        <v>202061.95956402301</v>
      </c>
      <c r="D22">
        <v>227304.667213554</v>
      </c>
      <c r="E22">
        <v>231179.69927757399</v>
      </c>
      <c r="F22">
        <v>201517.08516635999</v>
      </c>
      <c r="G22">
        <v>226453.05538891099</v>
      </c>
      <c r="H22">
        <v>219568.27058128</v>
      </c>
      <c r="I22">
        <v>232210.97386766001</v>
      </c>
      <c r="J22">
        <v>239931.46986922799</v>
      </c>
      <c r="K22">
        <v>278666.14795534499</v>
      </c>
      <c r="L22">
        <v>352526.93082070502</v>
      </c>
      <c r="M22">
        <v>431302.638619843</v>
      </c>
      <c r="N22">
        <v>433190.10604564898</v>
      </c>
      <c r="O22">
        <v>528503.41156977694</v>
      </c>
      <c r="P22">
        <v>647532.20508007496</v>
      </c>
      <c r="Q22">
        <v>628066.83246468997</v>
      </c>
      <c r="R22">
        <v>689360.00894232001</v>
      </c>
      <c r="S22">
        <v>723102.81153530197</v>
      </c>
      <c r="T22">
        <v>773763.89260871697</v>
      </c>
      <c r="U22">
        <v>817151.61234130699</v>
      </c>
      <c r="V22">
        <v>932360.78500413196</v>
      </c>
      <c r="W22">
        <v>859787.53573032096</v>
      </c>
      <c r="X22">
        <v>750198.13353817002</v>
      </c>
      <c r="Y22">
        <v>737061.00524589</v>
      </c>
      <c r="Z22">
        <v>873070.517329511</v>
      </c>
      <c r="AA22">
        <v>793330.27040627401</v>
      </c>
      <c r="AB22">
        <v>780684.58174153895</v>
      </c>
      <c r="AC22">
        <v>875979.29259994498</v>
      </c>
      <c r="AD22">
        <v>793638.662038262</v>
      </c>
      <c r="AE22">
        <v>764298.68751080299</v>
      </c>
    </row>
    <row r="23" spans="1:31" x14ac:dyDescent="0.3">
      <c r="A23" s="4" t="s">
        <v>22</v>
      </c>
      <c r="B23">
        <v>240834.332417709</v>
      </c>
      <c r="C23">
        <v>306073.53610369802</v>
      </c>
      <c r="D23">
        <v>339652.58235202101</v>
      </c>
      <c r="E23">
        <v>374876.83697266801</v>
      </c>
      <c r="F23">
        <v>413216.77000206098</v>
      </c>
      <c r="G23">
        <v>464493.950236106</v>
      </c>
      <c r="H23">
        <v>464862.82343648397</v>
      </c>
      <c r="I23">
        <v>543201.17378551804</v>
      </c>
      <c r="J23">
        <v>525932.32938889903</v>
      </c>
      <c r="K23">
        <v>624531.30566772399</v>
      </c>
      <c r="L23">
        <v>702558.169706524</v>
      </c>
      <c r="M23">
        <v>785053.40862053703</v>
      </c>
      <c r="N23">
        <v>849729.08929252799</v>
      </c>
      <c r="O23">
        <v>970850.204895854</v>
      </c>
      <c r="P23">
        <v>1344079.4922460399</v>
      </c>
      <c r="Q23">
        <v>1067771.6859072</v>
      </c>
      <c r="R23">
        <v>1061765.2310908299</v>
      </c>
      <c r="S23">
        <v>1138839.7059319499</v>
      </c>
      <c r="T23">
        <v>1185049.04864961</v>
      </c>
      <c r="U23">
        <v>1313291.0156016301</v>
      </c>
      <c r="V23">
        <v>1390196.83700613</v>
      </c>
      <c r="W23">
        <v>1253856.3757722699</v>
      </c>
      <c r="X23">
        <v>1288599.194628</v>
      </c>
      <c r="Y23">
        <v>1324636.2124689899</v>
      </c>
      <c r="Z23">
        <v>1402599.94836772</v>
      </c>
      <c r="AA23">
        <v>1353420.82574435</v>
      </c>
      <c r="AB23">
        <v>1399797.40234531</v>
      </c>
      <c r="AC23">
        <v>1646525.44216233</v>
      </c>
      <c r="AD23">
        <v>1703892.1354909299</v>
      </c>
      <c r="AE23">
        <v>1636947.80202058</v>
      </c>
    </row>
    <row r="24" spans="1:31" x14ac:dyDescent="0.3">
      <c r="A24" s="4" t="s">
        <v>23</v>
      </c>
      <c r="B24">
        <v>67606.264351684105</v>
      </c>
      <c r="C24">
        <v>66190.745221553807</v>
      </c>
      <c r="D24">
        <v>74181.468944357897</v>
      </c>
      <c r="E24">
        <v>79938.670754293693</v>
      </c>
      <c r="F24">
        <v>85892.791011830195</v>
      </c>
      <c r="G24">
        <v>96823.481699203796</v>
      </c>
      <c r="H24">
        <v>109937.690368121</v>
      </c>
      <c r="I24">
        <v>126578.646236149</v>
      </c>
      <c r="J24">
        <v>112932.64657986999</v>
      </c>
      <c r="K24">
        <v>127820.089297064</v>
      </c>
      <c r="L24">
        <v>140608.56162437701</v>
      </c>
      <c r="M24">
        <v>163296.98123444701</v>
      </c>
      <c r="N24">
        <v>181240.54963201701</v>
      </c>
      <c r="O24">
        <v>227872.11593684499</v>
      </c>
      <c r="P24">
        <v>273836.64337673102</v>
      </c>
      <c r="Q24">
        <v>286391.96354579</v>
      </c>
      <c r="R24">
        <v>273372.714986609</v>
      </c>
      <c r="S24">
        <v>312985.41780975799</v>
      </c>
      <c r="T24">
        <v>334165.80487375701</v>
      </c>
      <c r="U24">
        <v>393239.339926182</v>
      </c>
      <c r="V24">
        <v>431031.84689174301</v>
      </c>
      <c r="W24">
        <v>440340.14789546601</v>
      </c>
      <c r="X24">
        <v>399501.574364539</v>
      </c>
      <c r="Y24">
        <v>396086.22257966502</v>
      </c>
      <c r="Z24">
        <v>442714.71734211</v>
      </c>
      <c r="AA24">
        <v>407958.99635473499</v>
      </c>
      <c r="AB24">
        <v>384374.46215690399</v>
      </c>
      <c r="AC24">
        <v>377938.00242541201</v>
      </c>
      <c r="AD24">
        <v>379874.69496272202</v>
      </c>
      <c r="AE24">
        <v>391930.06788101699</v>
      </c>
    </row>
    <row r="25" spans="1:31" x14ac:dyDescent="0.3">
      <c r="A25" s="4" t="s">
        <v>24</v>
      </c>
      <c r="B25">
        <v>1566071.34350081</v>
      </c>
      <c r="C25">
        <v>1676584.9781885101</v>
      </c>
      <c r="D25">
        <v>1935031.8996283801</v>
      </c>
      <c r="E25">
        <v>2236806.1127876299</v>
      </c>
      <c r="F25">
        <v>2575422.67841142</v>
      </c>
      <c r="G25">
        <v>2740222.4431062602</v>
      </c>
      <c r="H25">
        <v>2732678.4362191199</v>
      </c>
      <c r="I25">
        <v>3051104.9042817499</v>
      </c>
      <c r="J25">
        <v>3308991.3224555599</v>
      </c>
      <c r="K25">
        <v>3794940.6110253199</v>
      </c>
      <c r="L25">
        <v>4748383.2661339296</v>
      </c>
      <c r="M25">
        <v>6088146.0785667896</v>
      </c>
      <c r="N25">
        <v>6585289.3688242603</v>
      </c>
      <c r="O25">
        <v>8212130.2851043902</v>
      </c>
      <c r="P25">
        <v>10576984.3525516</v>
      </c>
      <c r="Q25">
        <v>8578418.6985215507</v>
      </c>
      <c r="R25">
        <v>8524907.1037196498</v>
      </c>
      <c r="S25">
        <v>8618388.0253879894</v>
      </c>
      <c r="T25">
        <v>8836540.0337851997</v>
      </c>
      <c r="U25">
        <v>8636067.9533269592</v>
      </c>
      <c r="V25">
        <v>8287038.4293658799</v>
      </c>
      <c r="W25">
        <v>8011494.3525409997</v>
      </c>
      <c r="X25">
        <v>7237911.59063615</v>
      </c>
      <c r="Y25">
        <v>6678323.2667752001</v>
      </c>
      <c r="Z25">
        <v>7685768.9967536498</v>
      </c>
      <c r="AA25">
        <v>7589333.1041009398</v>
      </c>
      <c r="AB25">
        <v>7883060.0516736703</v>
      </c>
      <c r="AC25">
        <v>8711986.5881068502</v>
      </c>
      <c r="AD25">
        <v>9016149.7364304904</v>
      </c>
      <c r="AE25">
        <v>8147950.6542860297</v>
      </c>
    </row>
    <row r="26" spans="1:31" x14ac:dyDescent="0.3">
      <c r="A26" s="4" t="s">
        <v>25</v>
      </c>
      <c r="B26">
        <v>2071273.7909269601</v>
      </c>
      <c r="C26">
        <v>2269873.5672150301</v>
      </c>
      <c r="D26">
        <v>2686887.0772615401</v>
      </c>
      <c r="E26">
        <v>3077629.30421378</v>
      </c>
      <c r="F26">
        <v>3577050.6952419998</v>
      </c>
      <c r="G26">
        <v>3783522.6574487998</v>
      </c>
      <c r="H26">
        <v>3992218.6644550902</v>
      </c>
      <c r="I26">
        <v>4511576.63599882</v>
      </c>
      <c r="J26">
        <v>5092559.3852982698</v>
      </c>
      <c r="K26">
        <v>5857966.0246454403</v>
      </c>
      <c r="L26">
        <v>6311376.5556339798</v>
      </c>
      <c r="M26">
        <v>7727686.0055783996</v>
      </c>
      <c r="N26">
        <v>8551594.7298973799</v>
      </c>
      <c r="O26">
        <v>10494676.8621426</v>
      </c>
      <c r="P26">
        <v>12130246.473277999</v>
      </c>
      <c r="Q26">
        <v>12227229.597005401</v>
      </c>
      <c r="R26">
        <v>12154330.0582068</v>
      </c>
      <c r="S26">
        <v>13092822</v>
      </c>
      <c r="T26">
        <v>13992593</v>
      </c>
      <c r="U26">
        <v>14310394</v>
      </c>
      <c r="V26">
        <v>14894342</v>
      </c>
      <c r="W26">
        <v>15640128</v>
      </c>
      <c r="X26">
        <v>15565024</v>
      </c>
      <c r="Y26">
        <v>15917747</v>
      </c>
      <c r="Z26">
        <v>17112817.270014402</v>
      </c>
      <c r="AA26">
        <v>17562290.751129001</v>
      </c>
      <c r="AB26">
        <v>18990397.426903099</v>
      </c>
      <c r="AC26">
        <v>20481300.061431799</v>
      </c>
      <c r="AD26">
        <v>21710926.991879601</v>
      </c>
      <c r="AE26">
        <v>21013368.229023602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5F2D-BC1D-494E-98E6-EA4249B3E7D1}">
  <dimension ref="A1:AE720"/>
  <sheetViews>
    <sheetView topLeftCell="Q1" workbookViewId="0">
      <selection activeCell="AE28" sqref="AE28"/>
    </sheetView>
  </sheetViews>
  <sheetFormatPr defaultRowHeight="14.4" x14ac:dyDescent="0.3"/>
  <cols>
    <col min="2" max="5" width="16.6640625" bestFit="1" customWidth="1"/>
    <col min="6" max="31" width="17.77734375" bestFit="1" customWidth="1"/>
  </cols>
  <sheetData>
    <row r="1" spans="1:31" x14ac:dyDescent="0.3">
      <c r="A1" s="2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29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  <c r="T2" s="3">
        <v>2011</v>
      </c>
      <c r="U2" s="3">
        <v>2012</v>
      </c>
      <c r="V2" s="3">
        <v>2013</v>
      </c>
      <c r="W2" s="3">
        <v>2014</v>
      </c>
      <c r="X2" s="3">
        <v>2015</v>
      </c>
      <c r="Y2" s="3">
        <v>2016</v>
      </c>
      <c r="Z2" s="3">
        <v>2017</v>
      </c>
      <c r="AA2" s="3">
        <v>2018</v>
      </c>
      <c r="AB2" s="3">
        <v>2019</v>
      </c>
      <c r="AC2" s="3">
        <v>2020</v>
      </c>
      <c r="AD2" s="3">
        <v>2021</v>
      </c>
      <c r="AE2" s="3">
        <v>2022</v>
      </c>
    </row>
    <row r="3" spans="1:31" x14ac:dyDescent="0.3">
      <c r="A3" s="4" t="s">
        <v>2</v>
      </c>
      <c r="B3" s="5">
        <v>204462770000</v>
      </c>
      <c r="C3" s="5">
        <v>218865190000</v>
      </c>
      <c r="D3" s="5">
        <v>245218330000</v>
      </c>
      <c r="E3" s="5">
        <v>312477330000</v>
      </c>
      <c r="F3" s="5">
        <v>295765570000</v>
      </c>
      <c r="G3" s="5">
        <v>328928480000</v>
      </c>
      <c r="H3" s="5">
        <v>427835360000</v>
      </c>
      <c r="I3" s="5">
        <v>372794350000</v>
      </c>
      <c r="J3" s="5">
        <v>375130790000</v>
      </c>
      <c r="K3" s="5">
        <v>380087000000</v>
      </c>
      <c r="L3" s="5">
        <v>585529690000</v>
      </c>
      <c r="M3" s="5">
        <v>776402760000</v>
      </c>
      <c r="N3" s="5">
        <v>804014820000</v>
      </c>
      <c r="O3" s="5">
        <v>1095857960000</v>
      </c>
      <c r="P3" s="5">
        <v>1298315040000</v>
      </c>
      <c r="Q3" s="5">
        <v>683871560000</v>
      </c>
      <c r="R3" s="5">
        <v>1261909340000</v>
      </c>
      <c r="S3" s="5">
        <v>1454490570000</v>
      </c>
      <c r="T3" s="5">
        <v>1198187410000</v>
      </c>
      <c r="U3" s="5">
        <v>1386873960000</v>
      </c>
      <c r="V3" s="5">
        <v>1365958130000</v>
      </c>
      <c r="W3" s="5">
        <v>1288708340000</v>
      </c>
      <c r="X3" s="5">
        <v>1187083450000</v>
      </c>
      <c r="Y3" s="5">
        <v>1268493506774.29</v>
      </c>
      <c r="Z3" s="5">
        <v>1508462800000</v>
      </c>
      <c r="AA3" s="5">
        <v>1262800270000</v>
      </c>
      <c r="AB3" s="5">
        <v>1487598500000</v>
      </c>
      <c r="AC3" s="5">
        <v>1720556180000</v>
      </c>
      <c r="AD3" s="5">
        <v>1887400790000</v>
      </c>
      <c r="AE3" s="5">
        <v>1679171930000</v>
      </c>
    </row>
    <row r="4" spans="1:31" x14ac:dyDescent="0.3">
      <c r="A4" s="4" t="s">
        <v>3</v>
      </c>
      <c r="B4" s="5">
        <v>26238140000</v>
      </c>
      <c r="C4" s="5">
        <v>28819770000</v>
      </c>
      <c r="D4" s="5">
        <v>30617340000</v>
      </c>
      <c r="E4" s="5">
        <v>31914600000</v>
      </c>
      <c r="F4" s="5">
        <v>36820060000</v>
      </c>
      <c r="G4" s="5">
        <v>2600180000</v>
      </c>
      <c r="H4" s="5">
        <v>33022949999.999996</v>
      </c>
      <c r="I4" s="5">
        <v>29935220000</v>
      </c>
      <c r="J4" s="5">
        <v>25204350000</v>
      </c>
      <c r="K4" s="5">
        <v>33578129999.999996</v>
      </c>
      <c r="L4" s="5">
        <v>56522450000</v>
      </c>
      <c r="M4" s="5">
        <v>87776270000</v>
      </c>
      <c r="N4" s="5">
        <v>126251470000</v>
      </c>
      <c r="O4" s="5">
        <v>192770310000</v>
      </c>
      <c r="P4" s="5">
        <v>236448390000</v>
      </c>
      <c r="Q4" s="5">
        <v>76288700000</v>
      </c>
      <c r="R4" s="5">
        <v>114076070000</v>
      </c>
      <c r="S4" s="5">
        <v>126031960000</v>
      </c>
      <c r="T4" s="5">
        <v>85269520000</v>
      </c>
      <c r="U4" s="5">
        <v>106036780000</v>
      </c>
      <c r="V4" s="5">
        <v>117671410000</v>
      </c>
      <c r="W4" s="5">
        <v>96790330000</v>
      </c>
      <c r="X4" s="5">
        <v>96079380000</v>
      </c>
      <c r="Y4" s="5">
        <v>120976729936.549</v>
      </c>
      <c r="Z4" s="5">
        <v>150645990000</v>
      </c>
      <c r="AA4" s="5">
        <v>116802000000</v>
      </c>
      <c r="AB4" s="5">
        <v>133098220000</v>
      </c>
      <c r="AC4" s="5">
        <v>132083250000</v>
      </c>
      <c r="AD4" s="5">
        <v>162888880000</v>
      </c>
      <c r="AE4" s="5">
        <v>123048000000</v>
      </c>
    </row>
    <row r="5" spans="1:31" x14ac:dyDescent="0.3">
      <c r="A5" s="4" t="s">
        <v>4</v>
      </c>
      <c r="B5" s="5">
        <v>77975730000</v>
      </c>
      <c r="C5" s="5">
        <v>84124970000</v>
      </c>
      <c r="D5" s="5">
        <v>101422290000</v>
      </c>
      <c r="E5" s="5">
        <v>118801970000</v>
      </c>
      <c r="F5" s="5">
        <v>136934280000</v>
      </c>
      <c r="G5" s="5">
        <v>244037800000</v>
      </c>
      <c r="H5" s="5">
        <v>184135510000</v>
      </c>
      <c r="I5" s="5">
        <v>182480520000</v>
      </c>
      <c r="J5" s="5">
        <v>165843000000</v>
      </c>
      <c r="K5" s="5">
        <v>127556560000</v>
      </c>
      <c r="L5" s="5">
        <v>173552620000</v>
      </c>
      <c r="M5" s="5">
        <v>273247419999.99997</v>
      </c>
      <c r="N5" s="5">
        <v>288481060000</v>
      </c>
      <c r="O5" s="5">
        <v>396167930000</v>
      </c>
      <c r="P5" s="5">
        <v>385552940000</v>
      </c>
      <c r="Q5" s="5">
        <v>167218340000</v>
      </c>
      <c r="R5" s="5">
        <v>259768580000</v>
      </c>
      <c r="S5" s="5">
        <v>268726289999.99997</v>
      </c>
      <c r="T5" s="5">
        <v>229320850000</v>
      </c>
      <c r="U5" s="5">
        <v>299517140000</v>
      </c>
      <c r="V5" s="5">
        <v>374325590000</v>
      </c>
      <c r="W5" s="5">
        <v>378525790000</v>
      </c>
      <c r="X5" s="5">
        <v>414556380000</v>
      </c>
      <c r="Y5" s="5">
        <v>378144283250.56</v>
      </c>
      <c r="Z5" s="5">
        <v>437793522325.45703</v>
      </c>
      <c r="AA5" s="5">
        <v>321093542983.70197</v>
      </c>
      <c r="AB5" s="5" t="s">
        <v>30</v>
      </c>
      <c r="AC5" s="5" t="s">
        <v>30</v>
      </c>
      <c r="AD5" s="5" t="s">
        <v>30</v>
      </c>
      <c r="AE5" s="5" t="s">
        <v>30</v>
      </c>
    </row>
    <row r="6" spans="1:31" x14ac:dyDescent="0.3">
      <c r="A6" s="4" t="s">
        <v>5</v>
      </c>
      <c r="B6" s="5">
        <v>595516360000</v>
      </c>
      <c r="C6" s="5">
        <v>575716370000</v>
      </c>
      <c r="D6" s="5">
        <v>671742800000</v>
      </c>
      <c r="E6" s="5">
        <v>879797610000</v>
      </c>
      <c r="F6" s="5">
        <v>1010507310000</v>
      </c>
      <c r="G6" s="5">
        <v>1081927730000</v>
      </c>
      <c r="H6" s="5">
        <v>1448278090000</v>
      </c>
      <c r="I6" s="5">
        <v>770841540000</v>
      </c>
      <c r="J6" s="5">
        <v>615265930000</v>
      </c>
      <c r="K6" s="5">
        <v>888677700000</v>
      </c>
      <c r="L6" s="5">
        <v>910230610000</v>
      </c>
      <c r="M6" s="5">
        <v>1177517940000</v>
      </c>
      <c r="N6" s="5">
        <v>1482184560000</v>
      </c>
      <c r="O6" s="5">
        <v>1700708090000</v>
      </c>
      <c r="P6" s="5">
        <v>2186550150000</v>
      </c>
      <c r="Q6" s="5">
        <v>1033651810000</v>
      </c>
      <c r="R6" s="5">
        <v>1677431720000</v>
      </c>
      <c r="S6" s="5">
        <v>2171194839999.9998</v>
      </c>
      <c r="T6" s="5">
        <v>1912871970000</v>
      </c>
      <c r="U6" s="5">
        <v>2059973580000</v>
      </c>
      <c r="V6" s="5">
        <v>2113821770000</v>
      </c>
      <c r="W6" s="5">
        <v>2095420680000</v>
      </c>
      <c r="X6" s="5">
        <v>1593399300000</v>
      </c>
      <c r="Y6" s="5">
        <v>1993522735729.7</v>
      </c>
      <c r="Z6" s="5">
        <v>2367059920000</v>
      </c>
      <c r="AA6" s="5">
        <v>1937902710000</v>
      </c>
      <c r="AB6" s="5">
        <v>2409098540000</v>
      </c>
      <c r="AC6" s="5">
        <v>2641454670000</v>
      </c>
      <c r="AD6" s="5">
        <v>3264137360000</v>
      </c>
      <c r="AE6" s="5">
        <v>2744719700000</v>
      </c>
    </row>
    <row r="7" spans="1:31" x14ac:dyDescent="0.3">
      <c r="A7" s="4" t="s">
        <v>6</v>
      </c>
      <c r="B7" s="5">
        <v>39933390000</v>
      </c>
      <c r="C7" s="5">
        <v>47003330000</v>
      </c>
      <c r="D7" s="5">
        <v>56221940000</v>
      </c>
      <c r="E7" s="5">
        <v>71079200000</v>
      </c>
      <c r="F7" s="5">
        <v>93772820000</v>
      </c>
      <c r="G7" s="5">
        <v>98875480000</v>
      </c>
      <c r="H7" s="5">
        <v>97452590000</v>
      </c>
      <c r="I7" s="5">
        <v>111818640000</v>
      </c>
      <c r="J7" s="5">
        <v>85145500000</v>
      </c>
      <c r="K7" s="5">
        <v>76749870000</v>
      </c>
      <c r="L7" s="5">
        <v>121640960000</v>
      </c>
      <c r="M7" s="5">
        <v>151349870000</v>
      </c>
      <c r="N7" s="5" t="s">
        <v>30</v>
      </c>
      <c r="O7" s="5" t="s">
        <v>30</v>
      </c>
      <c r="P7" s="5" t="s">
        <v>30</v>
      </c>
      <c r="Q7" s="5" t="s">
        <v>30</v>
      </c>
      <c r="R7" s="5" t="s">
        <v>30</v>
      </c>
      <c r="S7" s="5" t="s">
        <v>30</v>
      </c>
      <c r="T7" s="5" t="s">
        <v>30</v>
      </c>
      <c r="U7" s="5" t="s">
        <v>30</v>
      </c>
      <c r="V7" s="5" t="s">
        <v>30</v>
      </c>
      <c r="W7" s="5" t="s">
        <v>30</v>
      </c>
      <c r="X7" s="5" t="s">
        <v>30</v>
      </c>
      <c r="Y7" s="5" t="s">
        <v>30</v>
      </c>
      <c r="Z7" s="5" t="s">
        <v>30</v>
      </c>
      <c r="AA7" s="5" t="s">
        <v>30</v>
      </c>
      <c r="AB7" s="5" t="s">
        <v>30</v>
      </c>
      <c r="AC7" s="5" t="s">
        <v>30</v>
      </c>
      <c r="AD7" s="5" t="s">
        <v>30</v>
      </c>
      <c r="AE7" s="5" t="s">
        <v>30</v>
      </c>
    </row>
    <row r="8" spans="1:31" x14ac:dyDescent="0.3">
      <c r="A8" s="4" t="s">
        <v>7</v>
      </c>
      <c r="B8" s="5">
        <v>23524610000</v>
      </c>
      <c r="C8" s="5">
        <v>38230500000</v>
      </c>
      <c r="D8" s="5">
        <v>28918430000</v>
      </c>
      <c r="E8" s="5">
        <v>41555780000</v>
      </c>
      <c r="F8" s="5">
        <v>50653590000</v>
      </c>
      <c r="G8" s="5">
        <v>96718280000</v>
      </c>
      <c r="H8" s="5">
        <v>40804170000</v>
      </c>
      <c r="I8" s="5">
        <v>33146100000</v>
      </c>
      <c r="J8" s="5">
        <v>20391530000</v>
      </c>
      <c r="K8" s="5">
        <v>15277460000</v>
      </c>
      <c r="L8" s="5">
        <v>18763320000</v>
      </c>
      <c r="M8" s="5">
        <v>20344330000</v>
      </c>
      <c r="N8" s="5" t="s">
        <v>30</v>
      </c>
      <c r="O8" s="5" t="s">
        <v>30</v>
      </c>
      <c r="P8" s="5" t="s">
        <v>30</v>
      </c>
      <c r="Q8" s="5" t="s">
        <v>30</v>
      </c>
      <c r="R8" s="5" t="s">
        <v>30</v>
      </c>
      <c r="S8" s="5" t="s">
        <v>30</v>
      </c>
      <c r="T8" s="5" t="s">
        <v>30</v>
      </c>
      <c r="U8" s="5" t="s">
        <v>30</v>
      </c>
      <c r="V8" s="5" t="s">
        <v>30</v>
      </c>
      <c r="W8" s="5" t="s">
        <v>30</v>
      </c>
      <c r="X8" s="5" t="s">
        <v>30</v>
      </c>
      <c r="Y8" s="5" t="s">
        <v>30</v>
      </c>
      <c r="Z8" s="5" t="s">
        <v>30</v>
      </c>
      <c r="AA8" s="5" t="s">
        <v>30</v>
      </c>
      <c r="AB8" s="5" t="s">
        <v>30</v>
      </c>
      <c r="AC8" s="5" t="s">
        <v>30</v>
      </c>
      <c r="AD8" s="5" t="s">
        <v>30</v>
      </c>
      <c r="AE8" s="5" t="s">
        <v>30</v>
      </c>
    </row>
    <row r="9" spans="1:31" x14ac:dyDescent="0.3">
      <c r="A9" s="4" t="s">
        <v>8</v>
      </c>
      <c r="B9" s="5">
        <v>455990150000</v>
      </c>
      <c r="C9" s="5">
        <v>452520780000</v>
      </c>
      <c r="D9" s="5">
        <v>499943560000</v>
      </c>
      <c r="E9" s="5">
        <v>585916300000</v>
      </c>
      <c r="F9" s="5">
        <v>674404750000</v>
      </c>
      <c r="G9" s="5">
        <v>151150690000</v>
      </c>
      <c r="H9" s="5">
        <v>1502951790000</v>
      </c>
      <c r="I9" s="5">
        <v>1446634120000</v>
      </c>
      <c r="J9" s="5">
        <v>1174663000000</v>
      </c>
      <c r="K9" s="5">
        <v>967015060000</v>
      </c>
      <c r="L9" s="5">
        <v>1355925340000</v>
      </c>
      <c r="M9" s="5">
        <v>1559109680000</v>
      </c>
      <c r="N9" s="5">
        <v>1758513210000</v>
      </c>
      <c r="O9" s="5">
        <v>2428251770000</v>
      </c>
      <c r="P9" s="5">
        <v>2740341210000</v>
      </c>
      <c r="Q9" s="5">
        <v>1472406870000</v>
      </c>
      <c r="R9" s="5">
        <v>1946185140000</v>
      </c>
      <c r="S9" s="5">
        <v>1911515390000</v>
      </c>
      <c r="T9" s="5">
        <v>1553956950000</v>
      </c>
      <c r="U9" s="5">
        <v>1808188710000</v>
      </c>
      <c r="V9" s="5">
        <v>2301085210000</v>
      </c>
      <c r="W9" s="5">
        <v>2085895800000</v>
      </c>
      <c r="X9" s="5">
        <v>2088317310000</v>
      </c>
      <c r="Y9" s="5">
        <v>2159046594865.7998</v>
      </c>
      <c r="Z9" s="5">
        <v>2749314584104.3799</v>
      </c>
      <c r="AA9" s="5">
        <v>2365950236659.3604</v>
      </c>
      <c r="AB9" s="5" t="s">
        <v>30</v>
      </c>
      <c r="AC9" s="5" t="s">
        <v>30</v>
      </c>
      <c r="AD9" s="5" t="s">
        <v>30</v>
      </c>
      <c r="AE9" s="5" t="s">
        <v>30</v>
      </c>
    </row>
    <row r="10" spans="1:31" x14ac:dyDescent="0.3">
      <c r="A10" s="4" t="s">
        <v>9</v>
      </c>
      <c r="B10" s="5">
        <v>441696230000</v>
      </c>
      <c r="C10" s="5">
        <v>499191940000</v>
      </c>
      <c r="D10" s="5">
        <v>577373720000</v>
      </c>
      <c r="E10" s="5">
        <v>664783310000</v>
      </c>
      <c r="F10" s="5">
        <v>825232750000</v>
      </c>
      <c r="G10" s="5">
        <v>1094252520000</v>
      </c>
      <c r="H10" s="5">
        <v>1432166980000</v>
      </c>
      <c r="I10" s="5">
        <v>1270243170000</v>
      </c>
      <c r="J10" s="5">
        <v>1071748730000</v>
      </c>
      <c r="K10" s="5">
        <v>686013540000</v>
      </c>
      <c r="L10" s="5">
        <v>1079026240000</v>
      </c>
      <c r="M10" s="5">
        <v>1194516790000</v>
      </c>
      <c r="N10" s="5">
        <v>1202136280000</v>
      </c>
      <c r="O10" s="5">
        <v>1637609770000</v>
      </c>
      <c r="P10" s="5">
        <v>2105197819999.9998</v>
      </c>
      <c r="Q10" s="5">
        <v>1110579630000</v>
      </c>
      <c r="R10" s="5">
        <v>1292355310000</v>
      </c>
      <c r="S10" s="5">
        <v>1429719050000</v>
      </c>
      <c r="T10" s="5">
        <v>1184500160000</v>
      </c>
      <c r="U10" s="5">
        <v>1486314810000</v>
      </c>
      <c r="V10" s="5">
        <v>1936106260000</v>
      </c>
      <c r="W10" s="5">
        <v>1738539060000</v>
      </c>
      <c r="X10" s="5">
        <v>1715800490000</v>
      </c>
      <c r="Y10" s="5">
        <v>1716041505061.04</v>
      </c>
      <c r="Z10" s="5">
        <v>2262222570000</v>
      </c>
      <c r="AA10" s="5">
        <v>1755172790000</v>
      </c>
      <c r="AB10" s="5">
        <v>2098173930000</v>
      </c>
      <c r="AC10" s="5">
        <v>2284108840000</v>
      </c>
      <c r="AD10" s="5">
        <v>2503045830000</v>
      </c>
      <c r="AE10" s="5">
        <v>1889663940000</v>
      </c>
    </row>
    <row r="11" spans="1:31" x14ac:dyDescent="0.3">
      <c r="A11" s="4" t="s">
        <v>10</v>
      </c>
      <c r="B11" s="5" t="s">
        <v>30</v>
      </c>
      <c r="C11" s="5" t="s">
        <v>30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>
        <v>84752030000</v>
      </c>
      <c r="K11" s="5">
        <v>67061460000.000008</v>
      </c>
      <c r="L11" s="5">
        <v>106643670000</v>
      </c>
      <c r="M11" s="5">
        <v>125241630000</v>
      </c>
      <c r="N11" s="5">
        <v>145120740000</v>
      </c>
      <c r="O11" s="5">
        <v>200696040000</v>
      </c>
      <c r="P11" s="5">
        <v>264960820000</v>
      </c>
      <c r="Q11" s="5">
        <v>90200000000</v>
      </c>
      <c r="R11" s="5">
        <v>112632400000</v>
      </c>
      <c r="S11" s="5">
        <v>67586420000</v>
      </c>
      <c r="T11" s="5">
        <v>33778890000</v>
      </c>
      <c r="U11" s="5">
        <v>44876550000</v>
      </c>
      <c r="V11" s="5">
        <v>82594240000</v>
      </c>
      <c r="W11" s="5">
        <v>55154270000</v>
      </c>
      <c r="X11" s="5">
        <v>42079580000</v>
      </c>
      <c r="Y11" s="5">
        <v>37163048981.108299</v>
      </c>
      <c r="Z11" s="5">
        <v>50605060000</v>
      </c>
      <c r="AA11" s="5">
        <v>38370850000</v>
      </c>
      <c r="AB11" s="5">
        <v>53653980000</v>
      </c>
      <c r="AC11" s="5">
        <v>50986890000</v>
      </c>
      <c r="AD11" s="5">
        <v>59242410000</v>
      </c>
      <c r="AE11" s="5">
        <v>59035280000</v>
      </c>
    </row>
    <row r="12" spans="1:31" x14ac:dyDescent="0.3">
      <c r="A12" s="4" t="s">
        <v>11</v>
      </c>
      <c r="B12" s="5" t="s">
        <v>30</v>
      </c>
      <c r="C12" s="5" t="s">
        <v>30</v>
      </c>
      <c r="D12" s="5" t="s">
        <v>30</v>
      </c>
      <c r="E12" s="5" t="s">
        <v>30</v>
      </c>
      <c r="F12" s="5" t="s">
        <v>30</v>
      </c>
      <c r="G12" s="5" t="s">
        <v>30</v>
      </c>
      <c r="H12" s="5" t="s">
        <v>30</v>
      </c>
      <c r="I12" s="5" t="s">
        <v>30</v>
      </c>
      <c r="J12" s="5" t="s">
        <v>30</v>
      </c>
      <c r="K12" s="5" t="s">
        <v>30</v>
      </c>
      <c r="L12" s="5" t="s">
        <v>30</v>
      </c>
      <c r="M12" s="5" t="s">
        <v>30</v>
      </c>
      <c r="N12" s="5" t="s">
        <v>30</v>
      </c>
      <c r="O12" s="5" t="s">
        <v>30</v>
      </c>
      <c r="P12" s="5" t="s">
        <v>30</v>
      </c>
      <c r="Q12" s="5" t="s">
        <v>30</v>
      </c>
      <c r="R12" s="5" t="s">
        <v>30</v>
      </c>
      <c r="S12" s="5" t="s">
        <v>30</v>
      </c>
      <c r="T12" s="5" t="s">
        <v>30</v>
      </c>
      <c r="U12" s="5" t="s">
        <v>30</v>
      </c>
      <c r="V12" s="5" t="s">
        <v>30</v>
      </c>
      <c r="W12" s="5" t="s">
        <v>30</v>
      </c>
      <c r="X12" s="5" t="s">
        <v>30</v>
      </c>
      <c r="Y12" s="5" t="s">
        <v>30</v>
      </c>
      <c r="Z12" s="5" t="s">
        <v>30</v>
      </c>
      <c r="AA12" s="5" t="s">
        <v>30</v>
      </c>
      <c r="AB12" s="5" t="s">
        <v>30</v>
      </c>
      <c r="AC12" s="5" t="s">
        <v>30</v>
      </c>
      <c r="AD12" s="5" t="s">
        <v>30</v>
      </c>
      <c r="AE12" s="5" t="s">
        <v>30</v>
      </c>
    </row>
    <row r="13" spans="1:31" x14ac:dyDescent="0.3">
      <c r="A13" s="4" t="s">
        <v>12</v>
      </c>
      <c r="B13" s="5" t="s">
        <v>30</v>
      </c>
      <c r="C13" s="5" t="s">
        <v>30</v>
      </c>
      <c r="D13" s="5" t="s">
        <v>30</v>
      </c>
      <c r="E13" s="5" t="s">
        <v>30</v>
      </c>
      <c r="F13" s="5">
        <v>48902510000</v>
      </c>
      <c r="G13" s="5">
        <v>69676460000</v>
      </c>
      <c r="H13" s="5">
        <v>68773180000</v>
      </c>
      <c r="I13" s="5">
        <v>81882450000</v>
      </c>
      <c r="J13" s="5">
        <v>75297840000</v>
      </c>
      <c r="K13" s="5">
        <v>59937500000</v>
      </c>
      <c r="L13" s="5">
        <v>85070380000</v>
      </c>
      <c r="M13" s="5">
        <v>114085430000</v>
      </c>
      <c r="N13" s="5">
        <v>114086160000</v>
      </c>
      <c r="O13" s="5">
        <v>163269490000</v>
      </c>
      <c r="P13" s="5">
        <v>143905260000</v>
      </c>
      <c r="Q13" s="5">
        <v>49489910000</v>
      </c>
      <c r="R13" s="5">
        <v>61291120000</v>
      </c>
      <c r="S13" s="5">
        <v>60368310000</v>
      </c>
      <c r="T13" s="5">
        <v>108393170000</v>
      </c>
      <c r="U13" s="5">
        <v>108989160000</v>
      </c>
      <c r="V13" s="5">
        <v>170122680000</v>
      </c>
      <c r="W13" s="5">
        <v>143465830000</v>
      </c>
      <c r="X13" s="5">
        <v>128008850000</v>
      </c>
      <c r="Y13" s="5">
        <v>119828586644.99899</v>
      </c>
      <c r="Z13" s="5">
        <v>146554130000</v>
      </c>
      <c r="AA13" s="5">
        <v>110154370000</v>
      </c>
      <c r="AB13" s="5" t="s">
        <v>30</v>
      </c>
      <c r="AC13" s="5" t="s">
        <v>30</v>
      </c>
      <c r="AD13" s="5" t="s">
        <v>30</v>
      </c>
      <c r="AE13" s="5" t="s">
        <v>30</v>
      </c>
    </row>
    <row r="14" spans="1:31" x14ac:dyDescent="0.3">
      <c r="A14" s="4" t="s">
        <v>13</v>
      </c>
      <c r="B14" s="5">
        <v>145299650000</v>
      </c>
      <c r="C14" s="5">
        <v>185970720000</v>
      </c>
      <c r="D14" s="5">
        <v>209522520000</v>
      </c>
      <c r="E14" s="5">
        <v>256595340000</v>
      </c>
      <c r="F14" s="5">
        <v>344664970000</v>
      </c>
      <c r="G14" s="5">
        <v>294240000</v>
      </c>
      <c r="H14" s="5">
        <v>728240350000</v>
      </c>
      <c r="I14" s="5">
        <v>768363350000</v>
      </c>
      <c r="J14" s="5">
        <v>527467280000</v>
      </c>
      <c r="K14" s="5">
        <v>477075420000</v>
      </c>
      <c r="L14" s="5">
        <v>614841570000</v>
      </c>
      <c r="M14" s="5">
        <v>789562620000</v>
      </c>
      <c r="N14" s="5">
        <v>798072870000</v>
      </c>
      <c r="O14" s="5">
        <v>1026504210000</v>
      </c>
      <c r="P14" s="5">
        <v>1072534679999.9999</v>
      </c>
      <c r="Q14" s="5">
        <v>522087790000</v>
      </c>
      <c r="R14" s="5">
        <v>655848250000</v>
      </c>
      <c r="S14" s="5">
        <v>535058930000.00006</v>
      </c>
      <c r="T14" s="5">
        <v>431486430000</v>
      </c>
      <c r="U14" s="5">
        <v>481827290000</v>
      </c>
      <c r="V14" s="5">
        <v>615462310000</v>
      </c>
      <c r="W14" s="5">
        <v>587312440000</v>
      </c>
      <c r="X14" s="5" t="s">
        <v>30</v>
      </c>
      <c r="Y14" s="5" t="s">
        <v>30</v>
      </c>
      <c r="Z14" s="5" t="s">
        <v>30</v>
      </c>
      <c r="AA14" s="5" t="s">
        <v>30</v>
      </c>
      <c r="AB14" s="5" t="s">
        <v>30</v>
      </c>
      <c r="AC14" s="5" t="s">
        <v>30</v>
      </c>
      <c r="AD14" s="5" t="s">
        <v>30</v>
      </c>
      <c r="AE14" s="5" t="s">
        <v>30</v>
      </c>
    </row>
    <row r="15" spans="1:31" x14ac:dyDescent="0.3">
      <c r="A15" s="4" t="s">
        <v>14</v>
      </c>
      <c r="B15" s="5">
        <v>2906298700000</v>
      </c>
      <c r="C15" s="5">
        <v>3592193910000</v>
      </c>
      <c r="D15" s="5">
        <v>3545306510000</v>
      </c>
      <c r="E15" s="5">
        <v>3019733730000</v>
      </c>
      <c r="F15" s="5">
        <v>2085370340000</v>
      </c>
      <c r="G15" s="5">
        <v>2439548790000</v>
      </c>
      <c r="H15" s="5">
        <v>4455348090000</v>
      </c>
      <c r="I15" s="5">
        <v>3157221780000</v>
      </c>
      <c r="J15" s="5">
        <v>2264527900000</v>
      </c>
      <c r="K15" s="5">
        <v>2069299120000</v>
      </c>
      <c r="L15" s="5">
        <v>2953098300000</v>
      </c>
      <c r="M15" s="5">
        <v>3557674430000</v>
      </c>
      <c r="N15" s="5">
        <v>4572901030000</v>
      </c>
      <c r="O15" s="5">
        <v>4614068830000</v>
      </c>
      <c r="P15" s="5">
        <v>4330921860000.0005</v>
      </c>
      <c r="Q15" s="5">
        <v>3115803730000</v>
      </c>
      <c r="R15" s="5">
        <v>3306082050000</v>
      </c>
      <c r="S15" s="5">
        <v>3827774200000</v>
      </c>
      <c r="T15" s="5">
        <v>3325387760000</v>
      </c>
      <c r="U15" s="5">
        <v>3478831520000</v>
      </c>
      <c r="V15" s="5">
        <v>4543169140000</v>
      </c>
      <c r="W15" s="5">
        <v>4377994370000</v>
      </c>
      <c r="X15" s="5">
        <v>4894919120000</v>
      </c>
      <c r="Y15" s="5">
        <v>4955299652289.1504</v>
      </c>
      <c r="Z15" s="5">
        <v>6222825210000</v>
      </c>
      <c r="AA15" s="5">
        <v>5296811100000</v>
      </c>
      <c r="AB15" s="5">
        <v>6191073290000</v>
      </c>
      <c r="AC15" s="5">
        <v>6718219550000</v>
      </c>
      <c r="AD15" s="5">
        <v>6544303490000</v>
      </c>
      <c r="AE15" s="5">
        <v>5380475460000</v>
      </c>
    </row>
    <row r="16" spans="1:31" x14ac:dyDescent="0.3">
      <c r="A16" s="4" t="s">
        <v>15</v>
      </c>
      <c r="B16" s="5">
        <v>200865240000</v>
      </c>
      <c r="C16" s="5">
        <v>130245850000</v>
      </c>
      <c r="D16" s="5">
        <v>90693960000</v>
      </c>
      <c r="E16" s="5">
        <v>106770460000</v>
      </c>
      <c r="F16" s="5">
        <v>156595010000</v>
      </c>
      <c r="G16" s="5">
        <v>91745800000</v>
      </c>
      <c r="H16" s="5">
        <v>154043880000</v>
      </c>
      <c r="I16" s="5">
        <v>125203830000</v>
      </c>
      <c r="J16" s="5">
        <v>126258380000</v>
      </c>
      <c r="K16" s="5">
        <v>103941150000</v>
      </c>
      <c r="L16" s="5">
        <v>122532960000</v>
      </c>
      <c r="M16" s="5">
        <v>171401990000</v>
      </c>
      <c r="N16" s="5">
        <v>239127950000</v>
      </c>
      <c r="O16" s="5">
        <v>348345130000</v>
      </c>
      <c r="P16" s="5">
        <v>397724640000</v>
      </c>
      <c r="Q16" s="5">
        <v>234054920000</v>
      </c>
      <c r="R16" s="5">
        <v>352045440000</v>
      </c>
      <c r="S16" s="5">
        <v>454345220000</v>
      </c>
      <c r="T16" s="5">
        <v>408689830000</v>
      </c>
      <c r="U16" s="5">
        <v>525056680000.00006</v>
      </c>
      <c r="V16" s="5">
        <v>526015640000</v>
      </c>
      <c r="W16" s="5">
        <v>480245320000</v>
      </c>
      <c r="X16" s="5">
        <v>402253280000</v>
      </c>
      <c r="Y16" s="5">
        <v>350809553623.58002</v>
      </c>
      <c r="Z16" s="5">
        <v>417020520000</v>
      </c>
      <c r="AA16" s="5">
        <v>385051430000</v>
      </c>
      <c r="AB16" s="5">
        <v>413618820000</v>
      </c>
      <c r="AC16" s="5">
        <v>399616700000</v>
      </c>
      <c r="AD16" s="5">
        <v>459707620000</v>
      </c>
      <c r="AE16" s="5">
        <v>454370430000</v>
      </c>
    </row>
    <row r="17" spans="1:31" x14ac:dyDescent="0.3">
      <c r="A17" s="4" t="s">
        <v>16</v>
      </c>
      <c r="B17" s="5">
        <v>181754190000</v>
      </c>
      <c r="C17" s="5">
        <v>223999880000</v>
      </c>
      <c r="D17" s="5">
        <v>286651490000</v>
      </c>
      <c r="E17" s="5">
        <v>375357820000</v>
      </c>
      <c r="F17" s="5">
        <v>468630690000</v>
      </c>
      <c r="G17" s="5">
        <v>603182200000</v>
      </c>
      <c r="H17" s="5">
        <v>694055330000</v>
      </c>
      <c r="I17" s="5">
        <v>640456300000</v>
      </c>
      <c r="J17" s="5">
        <v>503022880000</v>
      </c>
      <c r="K17" s="5">
        <v>401267710000</v>
      </c>
      <c r="L17" s="5">
        <v>488647360000</v>
      </c>
      <c r="M17" s="5">
        <v>538663689999.99994</v>
      </c>
      <c r="N17" s="5">
        <v>592835610000</v>
      </c>
      <c r="O17" s="5">
        <v>779542640000</v>
      </c>
      <c r="P17" s="5">
        <v>956157630000</v>
      </c>
      <c r="Q17" s="5">
        <v>388720840000</v>
      </c>
      <c r="R17" s="5">
        <v>559195310000</v>
      </c>
      <c r="S17" s="5">
        <v>661099200000</v>
      </c>
      <c r="T17" s="5">
        <v>594636520000</v>
      </c>
      <c r="U17" s="5">
        <v>650811190000</v>
      </c>
      <c r="V17" s="5">
        <v>817840280000</v>
      </c>
      <c r="W17" s="5">
        <v>786573520000</v>
      </c>
      <c r="X17" s="5">
        <v>728485580000</v>
      </c>
      <c r="Y17" s="5">
        <v>805724439486.29102</v>
      </c>
      <c r="Z17" s="5">
        <v>1100105440292.49</v>
      </c>
      <c r="AA17" s="5" t="s">
        <v>30</v>
      </c>
      <c r="AB17" s="5" t="s">
        <v>30</v>
      </c>
      <c r="AC17" s="5" t="s">
        <v>30</v>
      </c>
      <c r="AD17" s="5" t="s">
        <v>30</v>
      </c>
      <c r="AE17" s="5" t="s">
        <v>30</v>
      </c>
    </row>
    <row r="18" spans="1:31" x14ac:dyDescent="0.3">
      <c r="A18" s="4" t="s">
        <v>17</v>
      </c>
      <c r="B18" s="5">
        <v>25620870000</v>
      </c>
      <c r="C18" s="5">
        <v>27117660000</v>
      </c>
      <c r="D18" s="5">
        <v>31373000000</v>
      </c>
      <c r="E18" s="5">
        <v>38290580000</v>
      </c>
      <c r="F18" s="5">
        <v>30509230000</v>
      </c>
      <c r="G18" s="5">
        <v>24783940000</v>
      </c>
      <c r="H18" s="5">
        <v>28351500000</v>
      </c>
      <c r="I18" s="5">
        <v>18613210000</v>
      </c>
      <c r="J18" s="5">
        <v>17821780000</v>
      </c>
      <c r="K18" s="5">
        <v>21761620000</v>
      </c>
      <c r="L18" s="5">
        <v>33049760000.000004</v>
      </c>
      <c r="M18" s="5">
        <v>43731330000</v>
      </c>
      <c r="N18" s="5">
        <v>40592460000</v>
      </c>
      <c r="O18" s="5">
        <v>44816540000</v>
      </c>
      <c r="P18" s="5">
        <v>47485600000</v>
      </c>
      <c r="Q18" s="5">
        <v>24209610000</v>
      </c>
      <c r="R18" s="5">
        <v>35506850000</v>
      </c>
      <c r="S18" s="5" t="s">
        <v>30</v>
      </c>
      <c r="T18" s="5" t="s">
        <v>30</v>
      </c>
      <c r="U18" s="5">
        <v>52870100000</v>
      </c>
      <c r="V18" s="5">
        <v>65961560000</v>
      </c>
      <c r="W18" s="5">
        <v>74415690000</v>
      </c>
      <c r="X18" s="5">
        <v>74350500000</v>
      </c>
      <c r="Y18" s="5">
        <v>80048458701.551697</v>
      </c>
      <c r="Z18" s="5">
        <v>94691280000</v>
      </c>
      <c r="AA18" s="5">
        <v>86132630000</v>
      </c>
      <c r="AB18" s="5">
        <v>107879780000</v>
      </c>
      <c r="AC18" s="5">
        <v>132198460000</v>
      </c>
      <c r="AD18" s="5">
        <v>122933780000</v>
      </c>
      <c r="AE18" s="5">
        <v>97545700000</v>
      </c>
    </row>
    <row r="19" spans="1:31" x14ac:dyDescent="0.3">
      <c r="A19" s="4" t="s">
        <v>18</v>
      </c>
      <c r="B19" s="5">
        <v>27371140000</v>
      </c>
      <c r="C19" s="5">
        <v>36459340000</v>
      </c>
      <c r="D19" s="5">
        <v>44586980000</v>
      </c>
      <c r="E19" s="5">
        <v>56877690000</v>
      </c>
      <c r="F19" s="5">
        <v>66509410000</v>
      </c>
      <c r="G19" s="5">
        <v>46420920000</v>
      </c>
      <c r="H19" s="5">
        <v>63699920000</v>
      </c>
      <c r="I19" s="5">
        <v>65774110000</v>
      </c>
      <c r="J19" s="5">
        <v>69465400000</v>
      </c>
      <c r="K19" s="5">
        <v>64169760000</v>
      </c>
      <c r="L19" s="5">
        <v>95919910000</v>
      </c>
      <c r="M19" s="5">
        <v>141429860000</v>
      </c>
      <c r="N19" s="5">
        <v>191078560000</v>
      </c>
      <c r="O19" s="5">
        <v>280851340000</v>
      </c>
      <c r="P19" s="5">
        <v>354919790000</v>
      </c>
      <c r="Q19" s="5">
        <v>145906340000</v>
      </c>
      <c r="R19" s="5">
        <v>227233230000</v>
      </c>
      <c r="S19" s="5">
        <v>295288300000</v>
      </c>
      <c r="T19" s="5">
        <v>220936390000</v>
      </c>
      <c r="U19" s="5">
        <v>242764880000</v>
      </c>
      <c r="V19" s="5">
        <v>265377099999.99997</v>
      </c>
      <c r="W19" s="5">
        <v>219369670000</v>
      </c>
      <c r="X19" s="5">
        <v>193895750000</v>
      </c>
      <c r="Y19" s="5">
        <v>231257192555.22699</v>
      </c>
      <c r="Z19" s="5">
        <v>287192200000</v>
      </c>
      <c r="AA19" s="5">
        <v>267382190000</v>
      </c>
      <c r="AB19" s="5">
        <v>295548630000</v>
      </c>
      <c r="AC19" s="5" t="s">
        <v>30</v>
      </c>
      <c r="AD19" s="5" t="s">
        <v>30</v>
      </c>
      <c r="AE19" s="5" t="s">
        <v>30</v>
      </c>
    </row>
    <row r="20" spans="1:31" x14ac:dyDescent="0.3">
      <c r="A20" s="4" t="s">
        <v>19</v>
      </c>
      <c r="B20" s="5" t="s">
        <v>30</v>
      </c>
      <c r="C20" s="5" t="s">
        <v>30</v>
      </c>
      <c r="D20" s="5" t="s">
        <v>30</v>
      </c>
      <c r="E20" s="5" t="s">
        <v>30</v>
      </c>
      <c r="F20" s="5">
        <v>38953480000</v>
      </c>
      <c r="G20" s="5">
        <v>62954000000</v>
      </c>
      <c r="H20" s="5">
        <v>68147740000.000008</v>
      </c>
      <c r="I20" s="5">
        <v>60680690000</v>
      </c>
      <c r="J20" s="5">
        <v>46337810000</v>
      </c>
      <c r="K20" s="5">
        <v>42845350000</v>
      </c>
      <c r="L20" s="5">
        <v>58284740000</v>
      </c>
      <c r="M20" s="5">
        <v>70240380000</v>
      </c>
      <c r="N20" s="5">
        <v>66973399999.999992</v>
      </c>
      <c r="O20" s="5">
        <v>104187320000</v>
      </c>
      <c r="P20" s="5">
        <v>132238540000.00002</v>
      </c>
      <c r="Q20" s="5">
        <v>68876020000</v>
      </c>
      <c r="R20" s="5">
        <v>98247200000</v>
      </c>
      <c r="S20" s="5">
        <v>81996700000</v>
      </c>
      <c r="T20" s="5">
        <v>61689890000</v>
      </c>
      <c r="U20" s="5">
        <v>65519040000</v>
      </c>
      <c r="V20" s="5">
        <v>79177900000</v>
      </c>
      <c r="W20" s="5">
        <v>57774190000</v>
      </c>
      <c r="X20" s="5">
        <v>59837190000</v>
      </c>
      <c r="Y20" s="5">
        <v>57255223904.945595</v>
      </c>
      <c r="Z20" s="5">
        <v>75589628811.639191</v>
      </c>
      <c r="AA20" s="5">
        <v>61933604857.411003</v>
      </c>
      <c r="AB20" s="5" t="s">
        <v>30</v>
      </c>
      <c r="AC20" s="5" t="s">
        <v>30</v>
      </c>
      <c r="AD20" s="5" t="s">
        <v>30</v>
      </c>
      <c r="AE20" s="5" t="s">
        <v>30</v>
      </c>
    </row>
    <row r="21" spans="1:31" x14ac:dyDescent="0.3">
      <c r="A21" s="4" t="s">
        <v>20</v>
      </c>
      <c r="B21" s="5">
        <v>118667810000</v>
      </c>
      <c r="C21" s="5">
        <v>154984140000</v>
      </c>
      <c r="D21" s="5">
        <v>190570530000</v>
      </c>
      <c r="E21" s="5">
        <v>241028150000</v>
      </c>
      <c r="F21" s="5">
        <v>290382930000</v>
      </c>
      <c r="G21" s="5">
        <v>402162640000</v>
      </c>
      <c r="H21" s="5">
        <v>430900070000</v>
      </c>
      <c r="I21" s="5">
        <v>504219320000</v>
      </c>
      <c r="J21" s="5">
        <v>468203190000</v>
      </c>
      <c r="K21" s="5">
        <v>461559380000</v>
      </c>
      <c r="L21" s="5">
        <v>726243370000</v>
      </c>
      <c r="M21" s="5">
        <v>940672880000</v>
      </c>
      <c r="N21" s="5">
        <v>959910390000</v>
      </c>
      <c r="O21" s="5">
        <v>1322915300000</v>
      </c>
      <c r="P21" s="5">
        <v>1799833980000</v>
      </c>
      <c r="Q21" s="5">
        <v>948352290000</v>
      </c>
      <c r="R21" s="5">
        <v>1434540470000</v>
      </c>
      <c r="S21" s="5">
        <v>1171624980000</v>
      </c>
      <c r="T21" s="5">
        <v>1030987550000</v>
      </c>
      <c r="U21" s="5">
        <v>995088450000</v>
      </c>
      <c r="V21" s="5">
        <v>1116561030000</v>
      </c>
      <c r="W21" s="5">
        <v>992913610000</v>
      </c>
      <c r="X21" s="5">
        <v>787192290000</v>
      </c>
      <c r="Y21" s="5">
        <v>704551326648.42993</v>
      </c>
      <c r="Z21" s="5">
        <v>888837580000</v>
      </c>
      <c r="AA21" s="5">
        <v>723690970000</v>
      </c>
      <c r="AB21" s="5">
        <v>797285840000</v>
      </c>
      <c r="AC21" s="5">
        <v>759174660000</v>
      </c>
      <c r="AD21" s="5">
        <v>775649630000</v>
      </c>
      <c r="AE21" s="5">
        <v>665497680000</v>
      </c>
    </row>
    <row r="22" spans="1:31" x14ac:dyDescent="0.3">
      <c r="A22" s="4" t="s">
        <v>21</v>
      </c>
      <c r="B22" s="5">
        <v>100510120000</v>
      </c>
      <c r="C22" s="5">
        <v>119259980000</v>
      </c>
      <c r="D22" s="5">
        <v>172550320000</v>
      </c>
      <c r="E22" s="5">
        <v>240382280000</v>
      </c>
      <c r="F22" s="5">
        <v>264710130000</v>
      </c>
      <c r="G22" s="5">
        <v>278707220000</v>
      </c>
      <c r="H22" s="5">
        <v>373277650000</v>
      </c>
      <c r="I22" s="5">
        <v>328339040000</v>
      </c>
      <c r="J22" s="5">
        <v>236514390000</v>
      </c>
      <c r="K22" s="5">
        <v>179117370000</v>
      </c>
      <c r="L22" s="5">
        <v>289877140000</v>
      </c>
      <c r="M22" s="5" t="s">
        <v>30</v>
      </c>
      <c r="N22" s="5" t="s">
        <v>30</v>
      </c>
      <c r="O22" s="5" t="s">
        <v>30</v>
      </c>
      <c r="P22" s="5" t="s">
        <v>30</v>
      </c>
      <c r="Q22" s="5" t="s">
        <v>30</v>
      </c>
      <c r="R22" s="5" t="s">
        <v>30</v>
      </c>
      <c r="S22" s="5" t="s">
        <v>30</v>
      </c>
      <c r="T22" s="5" t="s">
        <v>30</v>
      </c>
      <c r="U22" s="5" t="s">
        <v>30</v>
      </c>
      <c r="V22" s="5" t="s">
        <v>30</v>
      </c>
      <c r="W22" s="5" t="s">
        <v>30</v>
      </c>
      <c r="X22" s="5" t="s">
        <v>30</v>
      </c>
      <c r="Y22" s="5" t="s">
        <v>30</v>
      </c>
      <c r="Z22" s="5" t="s">
        <v>30</v>
      </c>
      <c r="AA22" s="5" t="s">
        <v>30</v>
      </c>
      <c r="AB22" s="5" t="s">
        <v>30</v>
      </c>
      <c r="AC22" s="5" t="s">
        <v>30</v>
      </c>
      <c r="AD22" s="5" t="s">
        <v>30</v>
      </c>
      <c r="AE22" s="5" t="s">
        <v>30</v>
      </c>
    </row>
    <row r="23" spans="1:31" x14ac:dyDescent="0.3">
      <c r="A23" s="4" t="s">
        <v>22</v>
      </c>
      <c r="B23" s="5">
        <v>270879229999.99997</v>
      </c>
      <c r="C23" s="5">
        <v>284976880000</v>
      </c>
      <c r="D23" s="5">
        <v>398102020000</v>
      </c>
      <c r="E23" s="5">
        <v>400284680000</v>
      </c>
      <c r="F23" s="5">
        <v>575339370000</v>
      </c>
      <c r="G23" s="5">
        <v>689199130000</v>
      </c>
      <c r="H23" s="5">
        <v>678232020000</v>
      </c>
      <c r="I23" s="5">
        <v>792315950000</v>
      </c>
      <c r="J23" s="5">
        <v>527355900000</v>
      </c>
      <c r="K23" s="5">
        <v>612667140000</v>
      </c>
      <c r="L23" s="5">
        <v>727102780000</v>
      </c>
      <c r="M23" s="5">
        <v>829098070000</v>
      </c>
      <c r="N23" s="5">
        <v>938697660000</v>
      </c>
      <c r="O23" s="5">
        <v>1212534300000</v>
      </c>
      <c r="P23" s="5">
        <v>1274656700000</v>
      </c>
      <c r="Q23" s="5">
        <v>880334430000</v>
      </c>
      <c r="R23" s="5">
        <v>1064686540000</v>
      </c>
      <c r="S23" s="5">
        <v>1229356540000</v>
      </c>
      <c r="T23" s="5">
        <v>1089519370000.0001</v>
      </c>
      <c r="U23" s="5">
        <v>1233438940000</v>
      </c>
      <c r="V23" s="5">
        <v>1540699830000</v>
      </c>
      <c r="W23" s="5">
        <v>1495314200000</v>
      </c>
      <c r="X23" s="5">
        <v>1519323460000</v>
      </c>
      <c r="Y23" s="5">
        <v>1403355611192.9299</v>
      </c>
      <c r="Z23" s="5">
        <v>1686497070000</v>
      </c>
      <c r="AA23" s="5">
        <v>1441160480000</v>
      </c>
      <c r="AB23" s="5">
        <v>1834453260000</v>
      </c>
      <c r="AC23" s="5">
        <v>2001602870000</v>
      </c>
      <c r="AD23" s="5">
        <v>2327707010000</v>
      </c>
      <c r="AE23" s="5">
        <v>1830524610000</v>
      </c>
    </row>
    <row r="24" spans="1:31" x14ac:dyDescent="0.3">
      <c r="A24" s="4" t="s">
        <v>23</v>
      </c>
      <c r="B24" s="5">
        <v>36612690000</v>
      </c>
      <c r="C24" s="5">
        <v>21605060000</v>
      </c>
      <c r="D24" s="5">
        <v>20771720000</v>
      </c>
      <c r="E24" s="5">
        <v>30311800000</v>
      </c>
      <c r="F24" s="5">
        <v>61095030000</v>
      </c>
      <c r="G24" s="5">
        <v>33645589999.999996</v>
      </c>
      <c r="H24" s="5">
        <v>112715840000</v>
      </c>
      <c r="I24" s="5">
        <v>69710920000</v>
      </c>
      <c r="J24" s="5">
        <v>48387990000</v>
      </c>
      <c r="K24" s="5">
        <v>36043970000</v>
      </c>
      <c r="L24" s="5">
        <v>68379000000</v>
      </c>
      <c r="M24" s="5">
        <v>98298000000</v>
      </c>
      <c r="N24" s="5">
        <v>159997200000</v>
      </c>
      <c r="O24" s="5">
        <v>160875110000</v>
      </c>
      <c r="P24" s="5">
        <v>284530840000</v>
      </c>
      <c r="Q24" s="5">
        <v>117584350000</v>
      </c>
      <c r="R24" s="5">
        <v>231676450000</v>
      </c>
      <c r="S24" s="5">
        <v>302443140000</v>
      </c>
      <c r="T24" s="5">
        <v>197074460000</v>
      </c>
      <c r="U24" s="5">
        <v>315197530000</v>
      </c>
      <c r="V24" s="5">
        <v>195745520000</v>
      </c>
      <c r="W24" s="5">
        <v>219762560000</v>
      </c>
      <c r="X24" s="5">
        <v>188861890000</v>
      </c>
      <c r="Y24" s="5">
        <v>171764937097.96802</v>
      </c>
      <c r="Z24" s="5">
        <v>227511820000</v>
      </c>
      <c r="AA24" s="5">
        <v>149263560000</v>
      </c>
      <c r="AB24" s="5">
        <v>184966060000</v>
      </c>
      <c r="AC24" s="5">
        <v>237473620000</v>
      </c>
      <c r="AD24" s="5">
        <v>138395240000</v>
      </c>
      <c r="AE24" s="5">
        <v>330011020000</v>
      </c>
    </row>
    <row r="25" spans="1:31" x14ac:dyDescent="0.3">
      <c r="A25" s="4" t="s">
        <v>24</v>
      </c>
      <c r="B25" s="5">
        <v>1150283390000</v>
      </c>
      <c r="C25" s="5">
        <v>1143329850000</v>
      </c>
      <c r="D25" s="5">
        <v>1329936350000</v>
      </c>
      <c r="E25" s="5">
        <v>1711228010000</v>
      </c>
      <c r="F25" s="5">
        <v>2068246130000</v>
      </c>
      <c r="G25" s="5">
        <v>2297650970000</v>
      </c>
      <c r="H25" s="5">
        <v>2954815470000</v>
      </c>
      <c r="I25" s="5">
        <v>2576991340000</v>
      </c>
      <c r="J25" s="5">
        <v>2149500799999.9998</v>
      </c>
      <c r="K25" s="5">
        <v>1856194400000</v>
      </c>
      <c r="L25" s="5">
        <v>2425822000000</v>
      </c>
      <c r="M25" s="5">
        <v>2815928030000</v>
      </c>
      <c r="N25" s="5">
        <v>3058182420000</v>
      </c>
      <c r="O25" s="5">
        <v>3781358500000</v>
      </c>
      <c r="P25" s="5">
        <v>3846461880000</v>
      </c>
      <c r="Q25" s="5">
        <v>1868152970000</v>
      </c>
      <c r="R25" s="5">
        <v>2796444320000</v>
      </c>
      <c r="S25" s="5">
        <v>2686880880000</v>
      </c>
      <c r="T25" s="5">
        <v>2932240870000</v>
      </c>
      <c r="U25" s="5">
        <v>3291640120000</v>
      </c>
      <c r="V25" s="5">
        <v>3946884730000</v>
      </c>
      <c r="W25" s="5">
        <v>3570893500000</v>
      </c>
      <c r="X25" s="5" t="s">
        <v>30</v>
      </c>
      <c r="Y25" s="5" t="s">
        <v>30</v>
      </c>
      <c r="Z25" s="5" t="s">
        <v>30</v>
      </c>
      <c r="AA25" s="5" t="s">
        <v>30</v>
      </c>
      <c r="AB25" s="5" t="s">
        <v>30</v>
      </c>
      <c r="AC25" s="5" t="s">
        <v>30</v>
      </c>
      <c r="AD25" s="5">
        <v>3799459240000</v>
      </c>
      <c r="AE25" s="5">
        <v>3095983430000</v>
      </c>
    </row>
    <row r="26" spans="1:31" x14ac:dyDescent="0.3">
      <c r="A26" s="4" t="s">
        <v>25</v>
      </c>
      <c r="B26" s="5">
        <v>5251079630000</v>
      </c>
      <c r="C26" s="5">
        <v>5137739860000</v>
      </c>
      <c r="D26" s="5">
        <v>6952026000000</v>
      </c>
      <c r="E26" s="5">
        <v>8480497000000</v>
      </c>
      <c r="F26" s="5">
        <v>10770143000000</v>
      </c>
      <c r="G26" s="5">
        <v>12922580000000</v>
      </c>
      <c r="H26" s="5">
        <v>14777387400000</v>
      </c>
      <c r="I26" s="5">
        <v>15107751000000</v>
      </c>
      <c r="J26" s="5">
        <v>13983666000000</v>
      </c>
      <c r="K26" s="5">
        <v>11054430000000</v>
      </c>
      <c r="L26" s="5">
        <v>14266265650000</v>
      </c>
      <c r="M26" s="5">
        <v>16323726330000</v>
      </c>
      <c r="N26" s="5">
        <v>17000864469999.998</v>
      </c>
      <c r="O26" s="5">
        <v>19568972500000</v>
      </c>
      <c r="P26" s="5">
        <v>19922279820000</v>
      </c>
      <c r="Q26" s="5">
        <v>11590277780000</v>
      </c>
      <c r="R26" s="5">
        <v>15077285740000</v>
      </c>
      <c r="S26" s="5">
        <v>17283451680000</v>
      </c>
      <c r="T26" s="5">
        <v>15640707040000</v>
      </c>
      <c r="U26" s="5">
        <v>18668333210000</v>
      </c>
      <c r="V26" s="5">
        <v>24034853520000</v>
      </c>
      <c r="W26" s="5">
        <v>26330589190000</v>
      </c>
      <c r="X26" s="5">
        <v>25067539600000</v>
      </c>
      <c r="Y26" s="5">
        <v>27352200720000</v>
      </c>
      <c r="Z26" s="5">
        <v>32120702650000</v>
      </c>
      <c r="AA26" s="5">
        <v>30436313050000</v>
      </c>
      <c r="AB26" s="5">
        <v>34085727370000</v>
      </c>
      <c r="AC26" s="5">
        <v>41569861770000</v>
      </c>
      <c r="AD26" s="5">
        <v>48548538120000</v>
      </c>
      <c r="AE26" s="5">
        <v>40297980320000</v>
      </c>
    </row>
    <row r="27" spans="1:31" x14ac:dyDescent="0.3">
      <c r="A27" s="1"/>
    </row>
    <row r="28" spans="1:31" x14ac:dyDescent="0.3">
      <c r="A28" s="1"/>
    </row>
    <row r="29" spans="1:31" x14ac:dyDescent="0.3">
      <c r="A29" s="1"/>
      <c r="B29">
        <f>B3/1000000</f>
        <v>204462.77</v>
      </c>
    </row>
    <row r="30" spans="1:31" x14ac:dyDescent="0.3">
      <c r="A30" s="1"/>
    </row>
    <row r="31" spans="1:31" x14ac:dyDescent="0.3">
      <c r="A31" s="1"/>
    </row>
    <row r="32" spans="1:3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E7C5-42C8-46CC-8CC1-6BB47BA34C34}">
  <dimension ref="A1:T26"/>
  <sheetViews>
    <sheetView workbookViewId="0">
      <selection activeCell="Q21" sqref="Q21"/>
    </sheetView>
  </sheetViews>
  <sheetFormatPr defaultRowHeight="14.4" x14ac:dyDescent="0.3"/>
  <sheetData>
    <row r="1" spans="1:20" x14ac:dyDescent="0.3">
      <c r="A1" s="2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31</v>
      </c>
      <c r="L1" s="25"/>
      <c r="M1" s="25"/>
      <c r="N1" s="25"/>
      <c r="O1" s="25"/>
      <c r="P1" s="25"/>
      <c r="Q1" s="25"/>
      <c r="R1" s="25"/>
      <c r="S1" s="25"/>
      <c r="T1" s="2"/>
    </row>
    <row r="2" spans="1:20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  <c r="T2" s="3">
        <v>2011</v>
      </c>
    </row>
    <row r="3" spans="1:20" x14ac:dyDescent="0.3">
      <c r="A3" s="4" t="s">
        <v>2</v>
      </c>
      <c r="B3">
        <v>144.44800000000001</v>
      </c>
      <c r="C3">
        <v>224.785</v>
      </c>
      <c r="D3">
        <v>218.98</v>
      </c>
      <c r="E3">
        <v>247.714</v>
      </c>
      <c r="F3">
        <v>210.929</v>
      </c>
      <c r="G3">
        <v>211.066</v>
      </c>
      <c r="H3">
        <v>253.91399999999999</v>
      </c>
      <c r="I3">
        <v>215.42400000000001</v>
      </c>
      <c r="J3">
        <v>208.61500000000001</v>
      </c>
      <c r="K3">
        <v>250.74100000000001</v>
      </c>
      <c r="L3">
        <v>360.34</v>
      </c>
      <c r="M3">
        <v>418.55599999999998</v>
      </c>
      <c r="N3">
        <v>433.41300000000001</v>
      </c>
      <c r="O3">
        <v>530.245</v>
      </c>
      <c r="P3">
        <v>782.42700000000002</v>
      </c>
      <c r="Q3">
        <v>618.60299999999995</v>
      </c>
      <c r="R3">
        <v>845.05799999999999</v>
      </c>
      <c r="S3">
        <v>965.07299999999998</v>
      </c>
      <c r="T3">
        <v>1023.401</v>
      </c>
    </row>
    <row r="4" spans="1:20" x14ac:dyDescent="0.3">
      <c r="A4" s="4" t="s">
        <v>3</v>
      </c>
      <c r="B4">
        <v>98.831000000000003</v>
      </c>
      <c r="C4">
        <v>120.721</v>
      </c>
      <c r="D4">
        <v>141.39699999999999</v>
      </c>
      <c r="E4">
        <v>138.98699999999999</v>
      </c>
      <c r="F4">
        <v>132.208</v>
      </c>
      <c r="G4">
        <v>142.202</v>
      </c>
      <c r="H4">
        <v>141.72</v>
      </c>
      <c r="I4">
        <v>140.47</v>
      </c>
      <c r="J4">
        <v>136.38200000000001</v>
      </c>
      <c r="K4">
        <v>167.09</v>
      </c>
      <c r="L4">
        <v>203.34200000000001</v>
      </c>
      <c r="M4">
        <v>226.42099999999999</v>
      </c>
      <c r="N4">
        <v>208.78899999999999</v>
      </c>
      <c r="O4">
        <v>251.11</v>
      </c>
      <c r="P4">
        <v>314.82299999999998</v>
      </c>
      <c r="Q4">
        <v>328.31200000000001</v>
      </c>
      <c r="R4">
        <v>364.73</v>
      </c>
      <c r="S4">
        <v>362.351</v>
      </c>
      <c r="T4">
        <v>335.447</v>
      </c>
    </row>
    <row r="5" spans="1:20" x14ac:dyDescent="0.3">
      <c r="A5" s="4" t="s">
        <v>4</v>
      </c>
      <c r="B5">
        <v>310.48599999999999</v>
      </c>
      <c r="C5">
        <v>384.59199999999998</v>
      </c>
      <c r="D5">
        <v>435.52800000000002</v>
      </c>
      <c r="E5">
        <v>428.65800000000002</v>
      </c>
      <c r="F5">
        <v>374.26</v>
      </c>
      <c r="G5">
        <v>396.15600000000001</v>
      </c>
      <c r="H5">
        <v>333.44600000000003</v>
      </c>
      <c r="I5">
        <v>310.11799999999999</v>
      </c>
      <c r="J5">
        <v>283.74</v>
      </c>
      <c r="K5">
        <v>333.28800000000001</v>
      </c>
      <c r="L5">
        <v>379.43400000000003</v>
      </c>
      <c r="M5">
        <v>388.95299999999997</v>
      </c>
      <c r="N5">
        <v>318.84899999999999</v>
      </c>
      <c r="O5">
        <v>352.44900000000001</v>
      </c>
      <c r="P5">
        <v>418.52499999999998</v>
      </c>
      <c r="Q5">
        <v>477.77699999999999</v>
      </c>
      <c r="R5">
        <v>585.78200000000004</v>
      </c>
      <c r="S5">
        <v>548.41399999999999</v>
      </c>
      <c r="T5">
        <v>550.08799999999997</v>
      </c>
    </row>
    <row r="6" spans="1:20" x14ac:dyDescent="0.3">
      <c r="A6" s="4" t="s">
        <v>5</v>
      </c>
      <c r="B6">
        <v>539.31500000000005</v>
      </c>
      <c r="C6">
        <v>532.69799999999998</v>
      </c>
      <c r="D6">
        <v>581.024</v>
      </c>
      <c r="E6">
        <v>595.36300000000006</v>
      </c>
      <c r="F6">
        <v>603.82000000000005</v>
      </c>
      <c r="G6">
        <v>581.54399999999998</v>
      </c>
      <c r="H6">
        <v>661.66899999999998</v>
      </c>
      <c r="I6">
        <v>662.26800000000003</v>
      </c>
      <c r="J6">
        <v>636.23699999999997</v>
      </c>
      <c r="K6">
        <v>652.51199999999994</v>
      </c>
      <c r="L6">
        <v>812.89300000000003</v>
      </c>
      <c r="M6">
        <v>904.98800000000006</v>
      </c>
      <c r="N6">
        <v>978.20899999999995</v>
      </c>
      <c r="O6">
        <v>1033.8610000000001</v>
      </c>
      <c r="P6">
        <v>1208.721</v>
      </c>
      <c r="Q6">
        <v>1033.924</v>
      </c>
      <c r="R6">
        <v>1324.623</v>
      </c>
      <c r="S6">
        <v>1485.4369999999999</v>
      </c>
      <c r="T6">
        <v>1547.6579999999999</v>
      </c>
    </row>
    <row r="7" spans="1:20" x14ac:dyDescent="0.3">
      <c r="A7" s="4" t="s">
        <v>6</v>
      </c>
      <c r="B7">
        <v>228.87700000000001</v>
      </c>
      <c r="C7">
        <v>251.48699999999999</v>
      </c>
      <c r="D7">
        <v>287.81200000000001</v>
      </c>
      <c r="E7">
        <v>279.75</v>
      </c>
      <c r="F7">
        <v>253.81200000000001</v>
      </c>
      <c r="G7">
        <v>282.92599999999999</v>
      </c>
      <c r="H7">
        <v>260.32799999999997</v>
      </c>
      <c r="I7">
        <v>249.155</v>
      </c>
      <c r="J7">
        <v>262.2</v>
      </c>
      <c r="K7">
        <v>341.30099999999999</v>
      </c>
      <c r="L7">
        <v>426.96300000000002</v>
      </c>
      <c r="M7">
        <v>527.61099999999999</v>
      </c>
      <c r="N7">
        <v>480.96199999999999</v>
      </c>
      <c r="O7">
        <v>537.01099999999997</v>
      </c>
      <c r="P7">
        <v>633.10699999999997</v>
      </c>
      <c r="Q7">
        <v>648.34100000000001</v>
      </c>
      <c r="R7">
        <v>739.00599999999997</v>
      </c>
      <c r="S7">
        <v>711.35799999999995</v>
      </c>
      <c r="T7">
        <v>714.59799999999996</v>
      </c>
    </row>
    <row r="8" spans="1:20" x14ac:dyDescent="0.3">
      <c r="A8" s="4" t="s">
        <v>7</v>
      </c>
      <c r="B8">
        <v>61.430999999999997</v>
      </c>
      <c r="C8">
        <v>70.524000000000001</v>
      </c>
      <c r="D8">
        <v>76.394999999999996</v>
      </c>
      <c r="E8">
        <v>77.52</v>
      </c>
      <c r="F8">
        <v>75.847999999999999</v>
      </c>
      <c r="G8">
        <v>87.323999999999998</v>
      </c>
      <c r="H8">
        <v>74.153999999999996</v>
      </c>
      <c r="I8">
        <v>62.4</v>
      </c>
      <c r="J8">
        <v>55.951999999999998</v>
      </c>
      <c r="K8">
        <v>63.412999999999997</v>
      </c>
      <c r="L8">
        <v>68.316999999999993</v>
      </c>
      <c r="M8">
        <v>76.75</v>
      </c>
      <c r="N8">
        <v>63.412999999999997</v>
      </c>
      <c r="O8">
        <v>72.888999999999996</v>
      </c>
      <c r="P8">
        <v>90.236000000000004</v>
      </c>
      <c r="Q8">
        <v>88.481999999999999</v>
      </c>
      <c r="R8">
        <v>93.212999999999994</v>
      </c>
      <c r="S8">
        <v>87.436999999999998</v>
      </c>
      <c r="T8">
        <v>85.927999999999997</v>
      </c>
    </row>
    <row r="9" spans="1:20" x14ac:dyDescent="0.3">
      <c r="A9" s="4" t="s">
        <v>8</v>
      </c>
      <c r="B9">
        <v>1024.7660000000001</v>
      </c>
      <c r="C9">
        <v>1150.8409999999999</v>
      </c>
      <c r="D9">
        <v>1269.1600000000001</v>
      </c>
      <c r="E9">
        <v>1260.5170000000001</v>
      </c>
      <c r="F9">
        <v>1131.181</v>
      </c>
      <c r="G9">
        <v>1235.511</v>
      </c>
      <c r="H9">
        <v>1105.973</v>
      </c>
      <c r="I9">
        <v>1071.9359999999999</v>
      </c>
      <c r="J9">
        <v>1076.914</v>
      </c>
      <c r="K9">
        <v>1362.5909999999999</v>
      </c>
      <c r="L9">
        <v>1780.01</v>
      </c>
      <c r="M9">
        <v>2051.9490000000001</v>
      </c>
      <c r="N9">
        <v>1842.6030000000001</v>
      </c>
      <c r="O9">
        <v>2205.239</v>
      </c>
      <c r="P9">
        <v>2734.248</v>
      </c>
      <c r="Q9">
        <v>2884.5610000000001</v>
      </c>
      <c r="R9">
        <v>3146.0479999999998</v>
      </c>
      <c r="S9">
        <v>3131.4319999999998</v>
      </c>
      <c r="T9">
        <v>3307.6039999999998</v>
      </c>
    </row>
    <row r="10" spans="1:20" x14ac:dyDescent="0.3">
      <c r="A10" s="4" t="s">
        <v>9</v>
      </c>
      <c r="B10">
        <v>1382.422</v>
      </c>
      <c r="C10">
        <v>1678.7339999999999</v>
      </c>
      <c r="D10">
        <v>1922.479</v>
      </c>
      <c r="E10">
        <v>1888.021</v>
      </c>
      <c r="F10">
        <v>1743.127</v>
      </c>
      <c r="G10">
        <v>2011.5989999999999</v>
      </c>
      <c r="H10">
        <v>1813.144</v>
      </c>
      <c r="I10">
        <v>1715.9190000000001</v>
      </c>
      <c r="J10">
        <v>1503.2370000000001</v>
      </c>
      <c r="K10">
        <v>1761.518</v>
      </c>
      <c r="L10">
        <v>2116.5189999999998</v>
      </c>
      <c r="M10">
        <v>2257.627</v>
      </c>
      <c r="N10">
        <v>1939.181</v>
      </c>
      <c r="O10">
        <v>2250.2710000000002</v>
      </c>
      <c r="P10">
        <v>2632.2550000000001</v>
      </c>
      <c r="Q10">
        <v>2589.5940000000001</v>
      </c>
      <c r="R10">
        <v>2801.788</v>
      </c>
      <c r="S10">
        <v>2606.7089999999998</v>
      </c>
      <c r="T10">
        <v>2534.1759999999999</v>
      </c>
    </row>
    <row r="11" spans="1:20" x14ac:dyDescent="0.3">
      <c r="A11" s="4" t="s">
        <v>10</v>
      </c>
      <c r="B11">
        <v>60.865000000000002</v>
      </c>
      <c r="C11">
        <v>73.397999999999996</v>
      </c>
      <c r="D11">
        <v>86.608000000000004</v>
      </c>
      <c r="E11">
        <v>100.458</v>
      </c>
      <c r="F11">
        <v>94.807000000000002</v>
      </c>
      <c r="G11">
        <v>100.48</v>
      </c>
      <c r="H11">
        <v>89.798000000000002</v>
      </c>
      <c r="I11">
        <v>86.966999999999999</v>
      </c>
      <c r="J11">
        <v>84.950999999999993</v>
      </c>
      <c r="K11">
        <v>102.846</v>
      </c>
      <c r="L11">
        <v>132.149</v>
      </c>
      <c r="M11">
        <v>158.04599999999999</v>
      </c>
      <c r="N11">
        <v>139.245</v>
      </c>
      <c r="O11">
        <v>151.648</v>
      </c>
      <c r="P11">
        <v>181.02</v>
      </c>
      <c r="Q11">
        <v>224.29</v>
      </c>
      <c r="R11">
        <v>227.58099999999999</v>
      </c>
      <c r="S11">
        <v>256.47300000000001</v>
      </c>
      <c r="T11">
        <v>252.90600000000001</v>
      </c>
    </row>
    <row r="12" spans="1:20" x14ac:dyDescent="0.3">
      <c r="A12" s="4" t="s">
        <v>11</v>
      </c>
      <c r="B12">
        <v>2.3929999999999998</v>
      </c>
      <c r="C12">
        <v>3.04</v>
      </c>
      <c r="D12">
        <v>3.581</v>
      </c>
      <c r="E12">
        <v>4.008</v>
      </c>
      <c r="F12">
        <v>4.4320000000000004</v>
      </c>
      <c r="G12">
        <v>5.4489999999999998</v>
      </c>
      <c r="H12">
        <v>6.0940000000000003</v>
      </c>
      <c r="I12">
        <v>6.5209999999999999</v>
      </c>
      <c r="J12">
        <v>6.4240000000000004</v>
      </c>
      <c r="K12">
        <v>8.9589999999999996</v>
      </c>
      <c r="L12">
        <v>15.707000000000001</v>
      </c>
      <c r="M12">
        <v>28.791</v>
      </c>
      <c r="N12">
        <v>45.680999999999997</v>
      </c>
      <c r="O12">
        <v>57.387</v>
      </c>
      <c r="P12">
        <v>65.867000000000004</v>
      </c>
      <c r="Q12">
        <v>12.746</v>
      </c>
      <c r="R12">
        <v>12.712999999999999</v>
      </c>
      <c r="S12">
        <v>15.887</v>
      </c>
      <c r="T12">
        <v>16.635000000000002</v>
      </c>
    </row>
    <row r="13" spans="1:20" x14ac:dyDescent="0.3">
      <c r="A13" s="4" t="s">
        <v>12</v>
      </c>
      <c r="B13">
        <v>23.408000000000001</v>
      </c>
      <c r="C13">
        <v>25.683</v>
      </c>
      <c r="D13">
        <v>28.225000000000001</v>
      </c>
      <c r="E13">
        <v>30.568999999999999</v>
      </c>
      <c r="F13">
        <v>29.498000000000001</v>
      </c>
      <c r="G13">
        <v>31.027999999999999</v>
      </c>
      <c r="H13">
        <v>31.645</v>
      </c>
      <c r="I13">
        <v>30.986000000000001</v>
      </c>
      <c r="J13">
        <v>28.466000000000001</v>
      </c>
      <c r="K13">
        <v>38.067999999999998</v>
      </c>
      <c r="L13">
        <v>117.208</v>
      </c>
      <c r="M13">
        <v>187.99299999999999</v>
      </c>
      <c r="N13">
        <v>219.94200000000001</v>
      </c>
      <c r="O13">
        <v>288.31900000000002</v>
      </c>
      <c r="P13">
        <v>309.572</v>
      </c>
      <c r="Q13">
        <v>275.53800000000001</v>
      </c>
      <c r="R13">
        <v>317.75</v>
      </c>
      <c r="S13">
        <v>304.25599999999997</v>
      </c>
      <c r="T13">
        <v>292.13799999999998</v>
      </c>
    </row>
    <row r="14" spans="1:20" x14ac:dyDescent="0.3">
      <c r="A14" s="4" t="s">
        <v>13</v>
      </c>
      <c r="B14">
        <v>1188.8130000000001</v>
      </c>
      <c r="C14">
        <v>1399.634</v>
      </c>
      <c r="D14">
        <v>1523.6849999999999</v>
      </c>
      <c r="E14">
        <v>1687.3430000000001</v>
      </c>
      <c r="F14">
        <v>1470.4639999999999</v>
      </c>
      <c r="G14">
        <v>1576.415</v>
      </c>
      <c r="H14">
        <v>1399.37</v>
      </c>
      <c r="I14">
        <v>1285.491</v>
      </c>
      <c r="J14">
        <v>1291.039</v>
      </c>
      <c r="K14">
        <v>1592.7929999999999</v>
      </c>
      <c r="L14">
        <v>1982.259</v>
      </c>
      <c r="M14">
        <v>2190.9989999999998</v>
      </c>
      <c r="N14">
        <v>1965.6020000000001</v>
      </c>
      <c r="O14">
        <v>2267.7489999999998</v>
      </c>
      <c r="P14">
        <v>2647.1909999999998</v>
      </c>
      <c r="Q14">
        <v>2813.0450000000001</v>
      </c>
      <c r="R14">
        <v>3191.0369999999998</v>
      </c>
      <c r="S14">
        <v>2996.9839999999999</v>
      </c>
      <c r="T14">
        <v>3077.703</v>
      </c>
    </row>
    <row r="15" spans="1:20" x14ac:dyDescent="0.3">
      <c r="A15" s="4" t="s">
        <v>14</v>
      </c>
      <c r="B15">
        <v>3766.1930000000002</v>
      </c>
      <c r="C15">
        <v>4479.3620000000001</v>
      </c>
      <c r="D15">
        <v>4648.5569999999998</v>
      </c>
      <c r="E15">
        <v>4455.5739999999996</v>
      </c>
      <c r="F15">
        <v>4148.5479999999998</v>
      </c>
      <c r="G15">
        <v>4854.9769999999999</v>
      </c>
      <c r="H15">
        <v>6004.2740000000003</v>
      </c>
      <c r="I15">
        <v>5701.9470000000001</v>
      </c>
      <c r="J15">
        <v>5478.8959999999997</v>
      </c>
      <c r="K15">
        <v>6372.4679999999998</v>
      </c>
      <c r="L15">
        <v>7818.1790000000001</v>
      </c>
      <c r="M15">
        <v>8858.0689999999995</v>
      </c>
      <c r="N15">
        <v>8370.6460000000006</v>
      </c>
      <c r="O15">
        <v>8406.5210000000006</v>
      </c>
      <c r="P15">
        <v>8855.732</v>
      </c>
      <c r="Q15">
        <v>11052.107</v>
      </c>
      <c r="R15">
        <v>11521.454</v>
      </c>
      <c r="S15">
        <v>13733.904</v>
      </c>
      <c r="T15">
        <v>14952.482</v>
      </c>
    </row>
    <row r="16" spans="1:20" x14ac:dyDescent="0.3">
      <c r="A16" s="4" t="s">
        <v>15</v>
      </c>
      <c r="B16">
        <v>48.472000000000001</v>
      </c>
      <c r="C16">
        <v>36.314999999999998</v>
      </c>
      <c r="D16">
        <v>21.126999999999999</v>
      </c>
      <c r="E16">
        <v>27.783000000000001</v>
      </c>
      <c r="F16">
        <v>39.917000000000002</v>
      </c>
      <c r="G16">
        <v>59.475000000000001</v>
      </c>
      <c r="H16">
        <v>118.866</v>
      </c>
      <c r="I16">
        <v>128.12200000000001</v>
      </c>
      <c r="J16">
        <v>167.90799999999999</v>
      </c>
      <c r="K16">
        <v>181.97200000000001</v>
      </c>
      <c r="L16">
        <v>195.678</v>
      </c>
      <c r="M16">
        <v>220.58799999999999</v>
      </c>
      <c r="N16">
        <v>270.77100000000002</v>
      </c>
      <c r="O16">
        <v>290.56599999999997</v>
      </c>
      <c r="P16">
        <v>334.21499999999997</v>
      </c>
      <c r="Q16">
        <v>302.46699999999998</v>
      </c>
      <c r="R16">
        <v>364.887</v>
      </c>
      <c r="S16">
        <v>427.565</v>
      </c>
      <c r="T16">
        <v>443.976</v>
      </c>
    </row>
    <row r="17" spans="1:20" x14ac:dyDescent="0.3">
      <c r="A17" s="4" t="s">
        <v>16</v>
      </c>
      <c r="B17">
        <v>225.76900000000001</v>
      </c>
      <c r="C17">
        <v>273.702</v>
      </c>
      <c r="D17">
        <v>328.06</v>
      </c>
      <c r="E17">
        <v>321.916</v>
      </c>
      <c r="F17">
        <v>304.52199999999999</v>
      </c>
      <c r="G17">
        <v>344.00099999999998</v>
      </c>
      <c r="H17">
        <v>348.05099999999999</v>
      </c>
      <c r="I17">
        <v>352.23700000000002</v>
      </c>
      <c r="J17">
        <v>364.09</v>
      </c>
      <c r="K17">
        <v>447.56099999999998</v>
      </c>
      <c r="L17">
        <v>589.15300000000002</v>
      </c>
      <c r="M17">
        <v>692.73099999999999</v>
      </c>
      <c r="N17">
        <v>680.84799999999996</v>
      </c>
      <c r="O17">
        <v>773.86900000000003</v>
      </c>
      <c r="P17">
        <v>904.91099999999994</v>
      </c>
      <c r="Q17">
        <v>947.04600000000005</v>
      </c>
      <c r="R17">
        <v>1006.381</v>
      </c>
      <c r="S17">
        <v>975.08199999999999</v>
      </c>
      <c r="T17">
        <v>955.49800000000005</v>
      </c>
    </row>
    <row r="18" spans="1:20" x14ac:dyDescent="0.3">
      <c r="A18" s="4" t="s">
        <v>17</v>
      </c>
      <c r="B18">
        <v>15.555999999999999</v>
      </c>
      <c r="C18">
        <v>19.218</v>
      </c>
      <c r="D18">
        <v>19.768000000000001</v>
      </c>
      <c r="E18">
        <v>21.850999999999999</v>
      </c>
      <c r="F18">
        <v>17.306000000000001</v>
      </c>
      <c r="G18">
        <v>16.414999999999999</v>
      </c>
      <c r="H18">
        <v>16.623999999999999</v>
      </c>
      <c r="I18">
        <v>14.228</v>
      </c>
      <c r="J18">
        <v>13.814</v>
      </c>
      <c r="K18">
        <v>18.352</v>
      </c>
      <c r="L18">
        <v>23.62</v>
      </c>
      <c r="M18">
        <v>24.731000000000002</v>
      </c>
      <c r="N18">
        <v>23.326000000000001</v>
      </c>
      <c r="O18">
        <v>20.420999999999999</v>
      </c>
      <c r="P18">
        <v>23.533000000000001</v>
      </c>
      <c r="Q18">
        <v>18.295999999999999</v>
      </c>
      <c r="R18">
        <v>30.324999999999999</v>
      </c>
      <c r="S18">
        <v>42.831000000000003</v>
      </c>
      <c r="T18">
        <v>52.594000000000001</v>
      </c>
    </row>
    <row r="19" spans="1:20" x14ac:dyDescent="0.3">
      <c r="A19" s="4" t="s">
        <v>18</v>
      </c>
      <c r="B19">
        <v>48.484000000000002</v>
      </c>
      <c r="C19">
        <v>54.021999999999998</v>
      </c>
      <c r="D19">
        <v>67.728999999999999</v>
      </c>
      <c r="E19">
        <v>69.995999999999995</v>
      </c>
      <c r="F19">
        <v>67.638000000000005</v>
      </c>
      <c r="G19">
        <v>64.918999999999997</v>
      </c>
      <c r="H19">
        <v>61.256999999999998</v>
      </c>
      <c r="I19">
        <v>58.052999999999997</v>
      </c>
      <c r="J19">
        <v>58.685000000000002</v>
      </c>
      <c r="K19">
        <v>84.244</v>
      </c>
      <c r="L19">
        <v>97.972999999999999</v>
      </c>
      <c r="M19">
        <v>110.417</v>
      </c>
      <c r="N19">
        <v>104.218</v>
      </c>
      <c r="O19">
        <v>125.509</v>
      </c>
      <c r="P19">
        <v>150.57499999999999</v>
      </c>
      <c r="Q19">
        <v>139.25399999999999</v>
      </c>
      <c r="R19">
        <v>239.18299999999999</v>
      </c>
      <c r="S19">
        <v>244.66900000000001</v>
      </c>
      <c r="T19">
        <v>239.53</v>
      </c>
    </row>
    <row r="20" spans="1:20" x14ac:dyDescent="0.3">
      <c r="A20" s="4" t="s">
        <v>19</v>
      </c>
      <c r="B20">
        <v>42.341999999999999</v>
      </c>
      <c r="C20">
        <v>50.433</v>
      </c>
      <c r="D20">
        <v>58.847000000000001</v>
      </c>
      <c r="E20">
        <v>62.34</v>
      </c>
      <c r="F20">
        <v>55.357999999999997</v>
      </c>
      <c r="G20">
        <v>64.188999999999993</v>
      </c>
      <c r="H20">
        <v>62.021999999999998</v>
      </c>
      <c r="I20">
        <v>59.493000000000002</v>
      </c>
      <c r="J20">
        <v>61.459000000000003</v>
      </c>
      <c r="K20">
        <v>80.084000000000003</v>
      </c>
      <c r="L20">
        <v>101.746</v>
      </c>
      <c r="M20">
        <v>121.82599999999999</v>
      </c>
      <c r="N20">
        <v>111.19199999999999</v>
      </c>
      <c r="O20">
        <v>134.05500000000001</v>
      </c>
      <c r="P20">
        <v>183.459</v>
      </c>
      <c r="Q20">
        <v>197.71199999999999</v>
      </c>
      <c r="R20">
        <v>230.75800000000001</v>
      </c>
      <c r="S20">
        <v>261.06099999999998</v>
      </c>
      <c r="T20">
        <v>282.31700000000001</v>
      </c>
    </row>
    <row r="21" spans="1:20" x14ac:dyDescent="0.3">
      <c r="A21" s="4" t="s">
        <v>20</v>
      </c>
      <c r="B21">
        <v>248.643</v>
      </c>
      <c r="C21">
        <v>289.81799999999998</v>
      </c>
      <c r="D21">
        <v>336.23399999999998</v>
      </c>
      <c r="E21">
        <v>353.89600000000002</v>
      </c>
      <c r="F21">
        <v>329.01900000000001</v>
      </c>
      <c r="G21">
        <v>361.19900000000001</v>
      </c>
      <c r="H21">
        <v>354.55099999999999</v>
      </c>
      <c r="I21">
        <v>333.46100000000001</v>
      </c>
      <c r="J21">
        <v>332.46</v>
      </c>
      <c r="K21">
        <v>426.024</v>
      </c>
      <c r="L21">
        <v>578.346</v>
      </c>
      <c r="M21">
        <v>754.00599999999997</v>
      </c>
      <c r="N21">
        <v>762.93700000000001</v>
      </c>
      <c r="O21">
        <v>993.94100000000003</v>
      </c>
      <c r="P21">
        <v>1301.634</v>
      </c>
      <c r="Q21">
        <v>1360.6990000000001</v>
      </c>
      <c r="R21">
        <v>1560.798</v>
      </c>
      <c r="S21">
        <v>1450.884</v>
      </c>
      <c r="T21">
        <v>1448.6980000000001</v>
      </c>
    </row>
    <row r="22" spans="1:20" x14ac:dyDescent="0.3">
      <c r="A22" s="4" t="s">
        <v>21</v>
      </c>
      <c r="B22">
        <v>195.251</v>
      </c>
      <c r="C22">
        <v>228.08600000000001</v>
      </c>
      <c r="D22">
        <v>270.505</v>
      </c>
      <c r="E22">
        <v>280.666</v>
      </c>
      <c r="F22">
        <v>240.81299999999999</v>
      </c>
      <c r="G22">
        <v>249.79400000000001</v>
      </c>
      <c r="H22">
        <v>237.79900000000001</v>
      </c>
      <c r="I22">
        <v>197.14500000000001</v>
      </c>
      <c r="J22">
        <v>164.74</v>
      </c>
      <c r="K22">
        <v>211.11</v>
      </c>
      <c r="L22">
        <v>278.077</v>
      </c>
      <c r="M22">
        <v>314.358</v>
      </c>
      <c r="N22">
        <v>288.58</v>
      </c>
      <c r="O22">
        <v>351.23899999999998</v>
      </c>
      <c r="P22">
        <v>390.072</v>
      </c>
      <c r="Q22">
        <v>348.97199999999998</v>
      </c>
      <c r="R22">
        <v>423.23200000000003</v>
      </c>
      <c r="S22">
        <v>404.20800000000003</v>
      </c>
      <c r="T22">
        <v>422.03399999999999</v>
      </c>
    </row>
    <row r="23" spans="1:20" x14ac:dyDescent="0.3">
      <c r="A23" s="4" t="s">
        <v>22</v>
      </c>
      <c r="B23">
        <v>170.292</v>
      </c>
      <c r="C23">
        <v>192.833</v>
      </c>
      <c r="D23">
        <v>225.06299999999999</v>
      </c>
      <c r="E23">
        <v>186.779</v>
      </c>
      <c r="F23">
        <v>170.23099999999999</v>
      </c>
      <c r="G23">
        <v>185.19200000000001</v>
      </c>
      <c r="H23">
        <v>164.042</v>
      </c>
      <c r="I23">
        <v>157.708</v>
      </c>
      <c r="J23">
        <v>153.821</v>
      </c>
      <c r="K23">
        <v>201.48099999999999</v>
      </c>
      <c r="L23">
        <v>223.14599999999999</v>
      </c>
      <c r="M23">
        <v>259.41399999999999</v>
      </c>
      <c r="N23">
        <v>209.34399999999999</v>
      </c>
      <c r="O23">
        <v>223.34700000000001</v>
      </c>
      <c r="P23">
        <v>242.78700000000001</v>
      </c>
      <c r="Q23">
        <v>258.95699999999999</v>
      </c>
      <c r="R23">
        <v>259.46100000000001</v>
      </c>
      <c r="S23">
        <v>290.95499999999998</v>
      </c>
      <c r="T23">
        <v>302.88299999999998</v>
      </c>
    </row>
    <row r="24" spans="1:20" x14ac:dyDescent="0.3">
      <c r="A24" s="4" t="s">
        <v>23</v>
      </c>
      <c r="B24">
        <v>21.39</v>
      </c>
      <c r="C24">
        <v>15.997</v>
      </c>
      <c r="D24">
        <v>21.341000000000001</v>
      </c>
      <c r="E24">
        <v>26.56</v>
      </c>
      <c r="F24">
        <v>29.728999999999999</v>
      </c>
      <c r="G24">
        <v>37.531999999999996</v>
      </c>
      <c r="H24">
        <v>43.046999999999997</v>
      </c>
      <c r="I24">
        <v>54.652999999999999</v>
      </c>
      <c r="J24">
        <v>84.742999999999995</v>
      </c>
      <c r="K24">
        <v>91.828999999999994</v>
      </c>
      <c r="L24">
        <v>140.34</v>
      </c>
      <c r="M24">
        <v>169.77600000000001</v>
      </c>
      <c r="N24">
        <v>154.76400000000001</v>
      </c>
      <c r="O24">
        <v>154.6</v>
      </c>
      <c r="P24">
        <v>197.75</v>
      </c>
      <c r="Q24">
        <v>165.45699999999999</v>
      </c>
      <c r="R24">
        <v>210.17699999999999</v>
      </c>
      <c r="S24">
        <v>227.23</v>
      </c>
      <c r="T24">
        <v>200.482</v>
      </c>
    </row>
    <row r="25" spans="1:20" x14ac:dyDescent="0.3">
      <c r="A25" s="4" t="s">
        <v>24</v>
      </c>
      <c r="B25">
        <v>420.262</v>
      </c>
      <c r="C25">
        <v>497.036</v>
      </c>
      <c r="D25">
        <v>564.58699999999999</v>
      </c>
      <c r="E25">
        <v>678.20899999999995</v>
      </c>
      <c r="F25">
        <v>701.40099999999995</v>
      </c>
      <c r="G25">
        <v>734.48299999999995</v>
      </c>
      <c r="H25">
        <v>760.63300000000004</v>
      </c>
      <c r="I25">
        <v>688.27</v>
      </c>
      <c r="J25">
        <v>670.03899999999999</v>
      </c>
      <c r="K25">
        <v>764.149</v>
      </c>
      <c r="L25">
        <v>827.12599999999998</v>
      </c>
      <c r="M25">
        <v>1040.8399999999999</v>
      </c>
      <c r="N25">
        <v>1002.748</v>
      </c>
      <c r="O25">
        <v>1237.6210000000001</v>
      </c>
      <c r="P25">
        <v>1358.106</v>
      </c>
      <c r="Q25">
        <v>1219.287</v>
      </c>
      <c r="R25">
        <v>1548.7929999999999</v>
      </c>
      <c r="S25">
        <v>1648.9459999999999</v>
      </c>
      <c r="T25">
        <v>1743.8309999999999</v>
      </c>
    </row>
    <row r="26" spans="1:20" x14ac:dyDescent="0.3">
      <c r="A26" s="4" t="s">
        <v>25</v>
      </c>
      <c r="B26">
        <v>8972.3330000000005</v>
      </c>
      <c r="C26">
        <v>9535.3889999999992</v>
      </c>
      <c r="D26">
        <v>10209.126</v>
      </c>
      <c r="E26">
        <v>10926.484</v>
      </c>
      <c r="F26">
        <v>11604.619000000001</v>
      </c>
      <c r="G26">
        <v>12515.537</v>
      </c>
      <c r="H26">
        <v>13396.953</v>
      </c>
      <c r="I26">
        <v>13736.218999999999</v>
      </c>
      <c r="J26">
        <v>14577.249</v>
      </c>
      <c r="K26">
        <v>15531.253000000001</v>
      </c>
      <c r="L26">
        <v>16709.214</v>
      </c>
      <c r="M26">
        <v>18976.266</v>
      </c>
      <c r="N26">
        <v>20536.337</v>
      </c>
      <c r="O26">
        <v>22115.499</v>
      </c>
      <c r="P26">
        <v>23848.795999999998</v>
      </c>
      <c r="Q26">
        <v>25326.46</v>
      </c>
      <c r="R26">
        <v>25602.922999999999</v>
      </c>
      <c r="S26">
        <v>25828.330999999998</v>
      </c>
      <c r="T26">
        <v>26333.08</v>
      </c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2</vt:lpstr>
      <vt:lpstr>Portfolio equity assets </vt:lpstr>
      <vt:lpstr>Portfolio debt assets </vt:lpstr>
      <vt:lpstr>Portfolio equity liabilities </vt:lpstr>
      <vt:lpstr>Portfolio debt liabilities </vt:lpstr>
      <vt:lpstr>Market Cap</vt:lpstr>
      <vt:lpstr>Domestic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Ismail</dc:creator>
  <cp:lastModifiedBy>omar Ismail</cp:lastModifiedBy>
  <dcterms:created xsi:type="dcterms:W3CDTF">2024-07-28T09:58:18Z</dcterms:created>
  <dcterms:modified xsi:type="dcterms:W3CDTF">2024-07-30T10:25:14Z</dcterms:modified>
</cp:coreProperties>
</file>