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onomics\International macroeconomics\Term Paper\Variables\"/>
    </mc:Choice>
  </mc:AlternateContent>
  <xr:revisionPtr revIDLastSave="0" documentId="13_ncr:1_{2B6D24FC-083A-4478-8BE4-6926ED2C8AF3}" xr6:coauthVersionLast="47" xr6:coauthVersionMax="47" xr10:uidLastSave="{00000000-0000-0000-0000-000000000000}"/>
  <bookViews>
    <workbookView xWindow="-108" yWindow="-108" windowWidth="23256" windowHeight="12576" activeTab="1" xr2:uid="{D70BBE0F-D6BB-426C-8369-A4C26B2AC29B}"/>
  </bookViews>
  <sheets>
    <sheet name="Equity_Home_Bias" sheetId="12" r:id="rId1"/>
    <sheet name="Debt_Home_Bias" sheetId="13" r:id="rId2"/>
    <sheet name="Portfolio equity assets " sheetId="1" r:id="rId3"/>
    <sheet name="Portfolio debt assets " sheetId="2" r:id="rId4"/>
    <sheet name="Portfolio equity liabilities " sheetId="4" r:id="rId5"/>
    <sheet name="Portfolio debt liabilities " sheetId="5" r:id="rId6"/>
    <sheet name="Market Cap" sheetId="7" r:id="rId7"/>
    <sheet name="Domestic debt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3" l="1"/>
  <c r="L23" i="13"/>
  <c r="C3" i="13"/>
  <c r="D3" i="13"/>
  <c r="E3" i="13"/>
  <c r="F3" i="13"/>
  <c r="G3" i="13"/>
  <c r="H3" i="13"/>
  <c r="I3" i="13"/>
  <c r="J3" i="13"/>
  <c r="K3" i="13"/>
  <c r="L3" i="13"/>
  <c r="C4" i="13"/>
  <c r="D4" i="13"/>
  <c r="E4" i="13"/>
  <c r="F4" i="13"/>
  <c r="G4" i="13"/>
  <c r="H4" i="13"/>
  <c r="I4" i="13"/>
  <c r="J4" i="13"/>
  <c r="K4" i="13"/>
  <c r="L4" i="13"/>
  <c r="C5" i="13"/>
  <c r="D5" i="13"/>
  <c r="E5" i="13"/>
  <c r="F5" i="13"/>
  <c r="G5" i="13"/>
  <c r="H5" i="13"/>
  <c r="I5" i="13"/>
  <c r="J5" i="13"/>
  <c r="K5" i="13"/>
  <c r="L5" i="13"/>
  <c r="C6" i="13"/>
  <c r="D6" i="13"/>
  <c r="E6" i="13"/>
  <c r="F6" i="13"/>
  <c r="G6" i="13"/>
  <c r="H6" i="13"/>
  <c r="I6" i="13"/>
  <c r="J6" i="13"/>
  <c r="K6" i="13"/>
  <c r="L6" i="13"/>
  <c r="C7" i="13"/>
  <c r="D7" i="13"/>
  <c r="E7" i="13"/>
  <c r="F7" i="13"/>
  <c r="G7" i="13"/>
  <c r="H7" i="13"/>
  <c r="I7" i="13"/>
  <c r="J7" i="13"/>
  <c r="K7" i="13"/>
  <c r="L7" i="13"/>
  <c r="C8" i="13"/>
  <c r="D8" i="13"/>
  <c r="E8" i="13"/>
  <c r="F8" i="13"/>
  <c r="G8" i="13"/>
  <c r="H8" i="13"/>
  <c r="I8" i="13"/>
  <c r="J8" i="13"/>
  <c r="K8" i="13"/>
  <c r="L8" i="13"/>
  <c r="C9" i="13"/>
  <c r="D9" i="13"/>
  <c r="E9" i="13"/>
  <c r="F9" i="13"/>
  <c r="G9" i="13"/>
  <c r="H9" i="13"/>
  <c r="I9" i="13"/>
  <c r="J9" i="13"/>
  <c r="K9" i="13"/>
  <c r="L9" i="13"/>
  <c r="C10" i="13"/>
  <c r="D10" i="13"/>
  <c r="E10" i="13"/>
  <c r="F10" i="13"/>
  <c r="G10" i="13"/>
  <c r="H10" i="13"/>
  <c r="I10" i="13"/>
  <c r="J10" i="13"/>
  <c r="K10" i="13"/>
  <c r="L10" i="13"/>
  <c r="C11" i="13"/>
  <c r="D11" i="13"/>
  <c r="E11" i="13"/>
  <c r="F11" i="13"/>
  <c r="G11" i="13"/>
  <c r="H11" i="13"/>
  <c r="I11" i="13"/>
  <c r="J11" i="13"/>
  <c r="K11" i="13"/>
  <c r="L11" i="13"/>
  <c r="C12" i="13"/>
  <c r="D12" i="13"/>
  <c r="E12" i="13"/>
  <c r="F12" i="13"/>
  <c r="G12" i="13"/>
  <c r="H12" i="13"/>
  <c r="I12" i="13"/>
  <c r="J12" i="13"/>
  <c r="K12" i="13"/>
  <c r="L12" i="13"/>
  <c r="C13" i="13"/>
  <c r="D13" i="13"/>
  <c r="E13" i="13"/>
  <c r="F13" i="13"/>
  <c r="G13" i="13"/>
  <c r="H13" i="13"/>
  <c r="I13" i="13"/>
  <c r="J13" i="13"/>
  <c r="K13" i="13"/>
  <c r="L13" i="13"/>
  <c r="C14" i="13"/>
  <c r="D14" i="13"/>
  <c r="E14" i="13"/>
  <c r="F14" i="13"/>
  <c r="G14" i="13"/>
  <c r="H14" i="13"/>
  <c r="I14" i="13"/>
  <c r="J14" i="13"/>
  <c r="K14" i="13"/>
  <c r="L14" i="13"/>
  <c r="C15" i="13"/>
  <c r="D15" i="13"/>
  <c r="E15" i="13"/>
  <c r="F15" i="13"/>
  <c r="G15" i="13"/>
  <c r="H15" i="13"/>
  <c r="I15" i="13"/>
  <c r="J15" i="13"/>
  <c r="K15" i="13"/>
  <c r="L15" i="13"/>
  <c r="C16" i="13"/>
  <c r="D16" i="13"/>
  <c r="E16" i="13"/>
  <c r="F16" i="13"/>
  <c r="G16" i="13"/>
  <c r="H16" i="13"/>
  <c r="I16" i="13"/>
  <c r="J16" i="13"/>
  <c r="K16" i="13"/>
  <c r="L16" i="13"/>
  <c r="C17" i="13"/>
  <c r="D17" i="13"/>
  <c r="E17" i="13"/>
  <c r="F17" i="13"/>
  <c r="G17" i="13"/>
  <c r="H17" i="13"/>
  <c r="I17" i="13"/>
  <c r="J17" i="13"/>
  <c r="K17" i="13"/>
  <c r="L17" i="13"/>
  <c r="C18" i="13"/>
  <c r="D18" i="13"/>
  <c r="E18" i="13"/>
  <c r="F18" i="13"/>
  <c r="G18" i="13"/>
  <c r="H18" i="13"/>
  <c r="I18" i="13"/>
  <c r="J18" i="13"/>
  <c r="K18" i="13"/>
  <c r="L18" i="13"/>
  <c r="C19" i="13"/>
  <c r="D19" i="13"/>
  <c r="E19" i="13"/>
  <c r="F19" i="13"/>
  <c r="G19" i="13"/>
  <c r="H19" i="13"/>
  <c r="I19" i="13"/>
  <c r="J19" i="13"/>
  <c r="K19" i="13"/>
  <c r="L19" i="13"/>
  <c r="C20" i="13"/>
  <c r="D20" i="13"/>
  <c r="E20" i="13"/>
  <c r="F20" i="13"/>
  <c r="G20" i="13"/>
  <c r="H20" i="13"/>
  <c r="I20" i="13"/>
  <c r="J20" i="13"/>
  <c r="K20" i="13"/>
  <c r="L20" i="13"/>
  <c r="C21" i="13"/>
  <c r="D21" i="13"/>
  <c r="E21" i="13"/>
  <c r="F21" i="13"/>
  <c r="G21" i="13"/>
  <c r="H21" i="13"/>
  <c r="I21" i="13"/>
  <c r="J21" i="13"/>
  <c r="K21" i="13"/>
  <c r="L21" i="13"/>
  <c r="C22" i="13"/>
  <c r="D22" i="13"/>
  <c r="E22" i="13"/>
  <c r="F22" i="13"/>
  <c r="G22" i="13"/>
  <c r="H22" i="13"/>
  <c r="I22" i="13"/>
  <c r="J22" i="13"/>
  <c r="K22" i="13"/>
  <c r="L22" i="13"/>
  <c r="C23" i="13"/>
  <c r="D23" i="13"/>
  <c r="E23" i="13"/>
  <c r="F23" i="13"/>
  <c r="G23" i="13"/>
  <c r="H23" i="13"/>
  <c r="I23" i="13"/>
  <c r="J23" i="13"/>
  <c r="C24" i="13"/>
  <c r="D24" i="13"/>
  <c r="E24" i="13"/>
  <c r="F24" i="13"/>
  <c r="G24" i="13"/>
  <c r="H24" i="13"/>
  <c r="I24" i="13"/>
  <c r="J24" i="13"/>
  <c r="K24" i="13"/>
  <c r="L24" i="13"/>
  <c r="C25" i="13"/>
  <c r="D25" i="13"/>
  <c r="E25" i="13"/>
  <c r="F25" i="13"/>
  <c r="G25" i="13"/>
  <c r="H25" i="13"/>
  <c r="I25" i="13"/>
  <c r="J25" i="13"/>
  <c r="K25" i="13"/>
  <c r="L25" i="13"/>
  <c r="C26" i="13"/>
  <c r="D26" i="13"/>
  <c r="E26" i="13"/>
  <c r="F26" i="13"/>
  <c r="G26" i="13"/>
  <c r="H26" i="13"/>
  <c r="I26" i="13"/>
  <c r="J26" i="13"/>
  <c r="K26" i="13"/>
  <c r="L26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3" i="13"/>
  <c r="C3" i="12"/>
  <c r="D3" i="12"/>
  <c r="E3" i="12"/>
  <c r="F3" i="12"/>
  <c r="G3" i="12"/>
  <c r="H3" i="12"/>
  <c r="I3" i="12"/>
  <c r="J3" i="12"/>
  <c r="K3" i="12"/>
  <c r="L3" i="12"/>
  <c r="C4" i="12"/>
  <c r="D4" i="12"/>
  <c r="E4" i="12"/>
  <c r="F4" i="12"/>
  <c r="G4" i="12"/>
  <c r="H4" i="12"/>
  <c r="I4" i="12"/>
  <c r="J4" i="12"/>
  <c r="K4" i="12"/>
  <c r="L4" i="12"/>
  <c r="C5" i="12"/>
  <c r="D5" i="12"/>
  <c r="E5" i="12"/>
  <c r="F5" i="12"/>
  <c r="G5" i="12"/>
  <c r="H5" i="12"/>
  <c r="I5" i="12"/>
  <c r="J5" i="12"/>
  <c r="K5" i="12"/>
  <c r="L5" i="12"/>
  <c r="C6" i="12"/>
  <c r="D6" i="12"/>
  <c r="E6" i="12"/>
  <c r="F6" i="12"/>
  <c r="G6" i="12"/>
  <c r="H6" i="12"/>
  <c r="I6" i="12"/>
  <c r="J6" i="12"/>
  <c r="K6" i="12"/>
  <c r="L6" i="12"/>
  <c r="C7" i="12"/>
  <c r="D7" i="12"/>
  <c r="E7" i="12"/>
  <c r="F7" i="12"/>
  <c r="G7" i="12"/>
  <c r="H7" i="12"/>
  <c r="I7" i="12"/>
  <c r="J7" i="12"/>
  <c r="K7" i="12"/>
  <c r="L7" i="12"/>
  <c r="C8" i="12"/>
  <c r="D8" i="12"/>
  <c r="E8" i="12"/>
  <c r="F8" i="12"/>
  <c r="G8" i="12"/>
  <c r="H8" i="12"/>
  <c r="I8" i="12"/>
  <c r="J8" i="12"/>
  <c r="K8" i="12"/>
  <c r="L8" i="12"/>
  <c r="C9" i="12"/>
  <c r="D9" i="12"/>
  <c r="E9" i="12"/>
  <c r="F9" i="12"/>
  <c r="G9" i="12"/>
  <c r="H9" i="12"/>
  <c r="I9" i="12"/>
  <c r="J9" i="12"/>
  <c r="K9" i="12"/>
  <c r="L9" i="12"/>
  <c r="C10" i="12"/>
  <c r="D10" i="12"/>
  <c r="E10" i="12"/>
  <c r="F10" i="12"/>
  <c r="G10" i="12"/>
  <c r="H10" i="12"/>
  <c r="I10" i="12"/>
  <c r="J10" i="12"/>
  <c r="K10" i="12"/>
  <c r="L10" i="12"/>
  <c r="C11" i="12"/>
  <c r="D11" i="12"/>
  <c r="E11" i="12"/>
  <c r="F11" i="12"/>
  <c r="G11" i="12"/>
  <c r="H11" i="12"/>
  <c r="I11" i="12"/>
  <c r="J11" i="12"/>
  <c r="K11" i="12"/>
  <c r="L11" i="12"/>
  <c r="C12" i="12"/>
  <c r="D12" i="12"/>
  <c r="E12" i="12"/>
  <c r="F12" i="12"/>
  <c r="G12" i="12"/>
  <c r="H12" i="12"/>
  <c r="I12" i="12"/>
  <c r="J12" i="12"/>
  <c r="K12" i="12"/>
  <c r="L12" i="12"/>
  <c r="C13" i="12"/>
  <c r="D13" i="12"/>
  <c r="E13" i="12"/>
  <c r="F13" i="12"/>
  <c r="G13" i="12"/>
  <c r="H13" i="12"/>
  <c r="I13" i="12"/>
  <c r="J13" i="12"/>
  <c r="K13" i="12"/>
  <c r="L13" i="12"/>
  <c r="C14" i="12"/>
  <c r="D14" i="12"/>
  <c r="E14" i="12"/>
  <c r="F14" i="12"/>
  <c r="G14" i="12"/>
  <c r="H14" i="12"/>
  <c r="I14" i="12"/>
  <c r="J14" i="12"/>
  <c r="K14" i="12"/>
  <c r="L14" i="12"/>
  <c r="C15" i="12"/>
  <c r="D15" i="12"/>
  <c r="E15" i="12"/>
  <c r="F15" i="12"/>
  <c r="G15" i="12"/>
  <c r="H15" i="12"/>
  <c r="I15" i="12"/>
  <c r="J15" i="12"/>
  <c r="K15" i="12"/>
  <c r="L15" i="12"/>
  <c r="C16" i="12"/>
  <c r="D16" i="12"/>
  <c r="E16" i="12"/>
  <c r="F16" i="12"/>
  <c r="G16" i="12"/>
  <c r="H16" i="12"/>
  <c r="I16" i="12"/>
  <c r="J16" i="12"/>
  <c r="K16" i="12"/>
  <c r="L16" i="12"/>
  <c r="C17" i="12"/>
  <c r="D17" i="12"/>
  <c r="E17" i="12"/>
  <c r="F17" i="12"/>
  <c r="G17" i="12"/>
  <c r="H17" i="12"/>
  <c r="I17" i="12"/>
  <c r="J17" i="12"/>
  <c r="K17" i="12"/>
  <c r="L17" i="12"/>
  <c r="C18" i="12"/>
  <c r="D18" i="12"/>
  <c r="E18" i="12"/>
  <c r="F18" i="12"/>
  <c r="G18" i="12"/>
  <c r="H18" i="12"/>
  <c r="I18" i="12"/>
  <c r="J18" i="12"/>
  <c r="K18" i="12"/>
  <c r="L18" i="12"/>
  <c r="C19" i="12"/>
  <c r="D19" i="12"/>
  <c r="E19" i="12"/>
  <c r="F19" i="12"/>
  <c r="G19" i="12"/>
  <c r="H19" i="12"/>
  <c r="I19" i="12"/>
  <c r="J19" i="12"/>
  <c r="K19" i="12"/>
  <c r="L19" i="12"/>
  <c r="C20" i="12"/>
  <c r="D20" i="12"/>
  <c r="E20" i="12"/>
  <c r="F20" i="12"/>
  <c r="G20" i="12"/>
  <c r="H20" i="12"/>
  <c r="I20" i="12"/>
  <c r="J20" i="12"/>
  <c r="K20" i="12"/>
  <c r="L20" i="12"/>
  <c r="C21" i="12"/>
  <c r="D21" i="12"/>
  <c r="E21" i="12"/>
  <c r="F21" i="12"/>
  <c r="G21" i="12"/>
  <c r="H21" i="12"/>
  <c r="I21" i="12"/>
  <c r="J21" i="12"/>
  <c r="K21" i="12"/>
  <c r="L21" i="12"/>
  <c r="C22" i="12"/>
  <c r="D22" i="12"/>
  <c r="E22" i="12"/>
  <c r="F22" i="12"/>
  <c r="G22" i="12"/>
  <c r="H22" i="12"/>
  <c r="I22" i="12"/>
  <c r="J22" i="12"/>
  <c r="K22" i="12"/>
  <c r="L22" i="12"/>
  <c r="C23" i="12"/>
  <c r="D23" i="12"/>
  <c r="E23" i="12"/>
  <c r="F23" i="12"/>
  <c r="G23" i="12"/>
  <c r="H23" i="12"/>
  <c r="I23" i="12"/>
  <c r="J23" i="12"/>
  <c r="K23" i="12"/>
  <c r="L23" i="12"/>
  <c r="C24" i="12"/>
  <c r="D24" i="12"/>
  <c r="E24" i="12"/>
  <c r="F24" i="12"/>
  <c r="G24" i="12"/>
  <c r="H24" i="12"/>
  <c r="I24" i="12"/>
  <c r="J24" i="12"/>
  <c r="K24" i="12"/>
  <c r="L24" i="12"/>
  <c r="C25" i="12"/>
  <c r="D25" i="12"/>
  <c r="E25" i="12"/>
  <c r="F25" i="12"/>
  <c r="G25" i="12"/>
  <c r="H25" i="12"/>
  <c r="I25" i="12"/>
  <c r="J25" i="12"/>
  <c r="K25" i="12"/>
  <c r="L25" i="12"/>
  <c r="C26" i="12"/>
  <c r="D26" i="12"/>
  <c r="E26" i="12"/>
  <c r="F26" i="12"/>
  <c r="G26" i="12"/>
  <c r="H26" i="12"/>
  <c r="I26" i="12"/>
  <c r="J26" i="12"/>
  <c r="K26" i="12"/>
  <c r="L26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3" i="12"/>
  <c r="B29" i="7" l="1"/>
</calcChain>
</file>

<file path=xl/sharedStrings.xml><?xml version="1.0" encoding="utf-8"?>
<sst xmlns="http://schemas.openxmlformats.org/spreadsheetml/2006/main" count="216" uniqueCount="34">
  <si>
    <t>Country</t>
  </si>
  <si>
    <t>Year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</si>
  <si>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</si>
  <si>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</si>
  <si>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</si>
  <si>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</si>
  <si>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</si>
  <si>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</si>
  <si>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</si>
  <si>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</si>
  <si>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</si>
  <si>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</si>
  <si>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</si>
  <si>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</si>
  <si>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Japan</t>
  </si>
  <si>
    <t>Mexico</t>
  </si>
  <si>
    <t>Netherlands</t>
  </si>
  <si>
    <t>New Zealand</t>
  </si>
  <si>
    <t>Norway</t>
  </si>
  <si>
    <t>Portugal</t>
  </si>
  <si>
    <t>Spain</t>
  </si>
  <si>
    <t>Sweden</t>
  </si>
  <si>
    <t>Switzerland</t>
  </si>
  <si>
    <t>Turkey</t>
  </si>
  <si>
    <t>United Kingdom</t>
  </si>
  <si>
    <t>United States</t>
  </si>
  <si>
    <t xml:space="preserve">Portfolio equity assets  </t>
  </si>
  <si>
    <t xml:space="preserve">Portfolio debt assets  </t>
  </si>
  <si>
    <t xml:space="preserve">Portfolio equity liabilities </t>
  </si>
  <si>
    <t>Portfolio debt liabilities</t>
  </si>
  <si>
    <t>Domestic Debt</t>
  </si>
  <si>
    <t>Market cap</t>
  </si>
  <si>
    <t>Equity Home Bias</t>
  </si>
  <si>
    <t>Debt Home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</si>
</sst>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,,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2" fontId="3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3" fillId="2" borderId="0" xfId="1" applyNumberFormat="1" applyFont="1" applyFill="1" applyAlignment="1">
      <alignment horizontal="center" vertical="center" wrapText="1"/>
    </xf>
    <xf numFmtId="2" fontId="4" fillId="2" borderId="0" xfId="1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01B2-C76D-43E4-9E33-1D59C23C0827}">
  <dimension ref="A1:L26"/>
  <sheetViews>
    <sheetView workbookViewId="0">
      <selection activeCell="N12" sqref="N12"/>
    </sheetView>
  </sheetViews>
  <sheetFormatPr defaultRowHeight="14.4" x14ac:dyDescent="0.3"/>
  <cols>
    <col min="1" max="1" width="13.5546875" bestFit="1" customWidth="1"/>
  </cols>
  <sheetData>
    <row r="1" spans="1:12" x14ac:dyDescent="0.3">
      <c r="A1" s="2" t="s">
        <v>0</v>
      </c>
      <c r="B1" s="7"/>
      <c r="C1" s="7"/>
      <c r="D1" s="7"/>
      <c r="E1" s="8" t="s">
        <v>32</v>
      </c>
      <c r="F1" s="7"/>
      <c r="G1" s="7"/>
      <c r="H1" s="7"/>
      <c r="I1" s="7"/>
      <c r="J1" s="7"/>
      <c r="K1" s="7"/>
      <c r="L1" s="7"/>
    </row>
    <row r="2" spans="1:12" ht="22.8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</row>
    <row r="3" spans="1:12" x14ac:dyDescent="0.3">
      <c r="A3" s="4" t="s">
        <v>2</v>
      </c>
      <c r="B3">
        <f>1-('Portfolio equity assets '!B3)/('Portfolio equity assets '!B3+('Market Cap'!B3/1000000)-'Portfolio equity liabilities '!B3)</f>
        <v>0.88698561013883381</v>
      </c>
      <c r="C3">
        <f>1-('Portfolio equity assets '!C3)/('Portfolio equity assets '!C3+('Market Cap'!C3/1000000)-'Portfolio equity liabilities '!C3)</f>
        <v>0.88375702681929658</v>
      </c>
      <c r="D3">
        <f>1-('Portfolio equity assets '!D3)/('Portfolio equity assets '!D3+('Market Cap'!D3/1000000)-'Portfolio equity liabilities '!D3)</f>
        <v>0.87706348443072712</v>
      </c>
      <c r="E3">
        <f>1-('Portfolio equity assets '!E3)/('Portfolio equity assets '!E3+('Market Cap'!E3/1000000)-'Portfolio equity liabilities '!E3)</f>
        <v>0.88785598074098482</v>
      </c>
      <c r="F3">
        <f>1-('Portfolio equity assets '!F3)/('Portfolio equity assets '!F3+('Market Cap'!F3/1000000)-'Portfolio equity liabilities '!F3)</f>
        <v>0.87682665911413482</v>
      </c>
      <c r="G3">
        <f>1-('Portfolio equity assets '!G3)/('Portfolio equity assets '!G3+('Market Cap'!G3/1000000)-'Portfolio equity liabilities '!G3)</f>
        <v>0.87433863555948799</v>
      </c>
      <c r="H3">
        <f>1-('Portfolio equity assets '!H3)/('Portfolio equity assets '!H3+('Market Cap'!H3/1000000)-'Portfolio equity liabilities '!H3)</f>
        <v>0.85105261569947355</v>
      </c>
      <c r="I3">
        <f>1-('Portfolio equity assets '!I3)/('Portfolio equity assets '!I3+('Market Cap'!I3/1000000)-'Portfolio equity liabilities '!I3)</f>
        <v>0.82942896112605913</v>
      </c>
      <c r="J3">
        <f>1-('Portfolio equity assets '!J3)/('Portfolio equity assets '!J3+('Market Cap'!J3/1000000)-'Portfolio equity liabilities '!J3)</f>
        <v>0.8264517793411994</v>
      </c>
      <c r="K3">
        <f>1-('Portfolio equity assets '!K3)/('Portfolio equity assets '!K3+('Market Cap'!K3/1000000)-'Portfolio equity liabilities '!K3)</f>
        <v>0.81651315976829142</v>
      </c>
      <c r="L3">
        <f>1-('Portfolio equity assets '!L3)/('Portfolio equity assets '!L3+('Market Cap'!L3/1000000)-'Portfolio equity liabilities '!L3)</f>
        <v>0.82770468736675973</v>
      </c>
    </row>
    <row r="4" spans="1:12" x14ac:dyDescent="0.3">
      <c r="A4" s="4" t="s">
        <v>3</v>
      </c>
      <c r="B4">
        <f>1-('Portfolio equity assets '!B4)/('Portfolio equity assets '!B4+('Market Cap'!B4/1000000)-'Portfolio equity liabilities '!B4)</f>
        <v>0.86970702567704206</v>
      </c>
      <c r="C4">
        <f>1-('Portfolio equity assets '!C4)/('Portfolio equity assets '!C4+('Market Cap'!C4/1000000)-'Portfolio equity liabilities '!C4)</f>
        <v>0.83437919307880537</v>
      </c>
      <c r="D4">
        <f>1-('Portfolio equity assets '!D4)/('Portfolio equity assets '!D4+('Market Cap'!D4/1000000)-'Portfolio equity liabilities '!D4)</f>
        <v>0.81306708090327917</v>
      </c>
      <c r="E4">
        <f>1-('Portfolio equity assets '!E4)/('Portfolio equity assets '!E4+('Market Cap'!E4/1000000)-'Portfolio equity liabilities '!E4)</f>
        <v>0.79413033376201791</v>
      </c>
      <c r="F4">
        <f>1-('Portfolio equity assets '!F4)/('Portfolio equity assets '!F4+('Market Cap'!F4/1000000)-'Portfolio equity liabilities '!F4)</f>
        <v>0.63560881060478736</v>
      </c>
      <c r="G4">
        <f>1-('Portfolio equity assets '!G4)/('Portfolio equity assets '!G4+('Market Cap'!G4/1000000)-'Portfolio equity liabilities '!G4)</f>
        <v>0.51761386720025426</v>
      </c>
      <c r="H4">
        <f>1-('Portfolio equity assets '!H4)/('Portfolio equity assets '!H4+('Market Cap'!H4/1000000)-'Portfolio equity liabilities '!H4)</f>
        <v>0.38715212062112281</v>
      </c>
      <c r="I4">
        <f>1-('Portfolio equity assets '!I4)/('Portfolio equity assets '!I4+('Market Cap'!I4/1000000)-'Portfolio equity liabilities '!I4)</f>
        <v>0.19534563275232042</v>
      </c>
      <c r="J4">
        <f>1-('Portfolio equity assets '!J4)/('Portfolio equity assets '!J4+('Market Cap'!J4/1000000)-'Portfolio equity liabilities '!J4)</f>
        <v>0.23519662851831102</v>
      </c>
      <c r="K4">
        <f>1-('Portfolio equity assets '!K4)/('Portfolio equity assets '!K4+('Market Cap'!K4/1000000)-'Portfolio equity liabilities '!K4)</f>
        <v>0.32796971947683651</v>
      </c>
      <c r="L4">
        <f>1-('Portfolio equity assets '!L4)/('Portfolio equity assets '!L4+('Market Cap'!L4/1000000)-'Portfolio equity liabilities '!L4)</f>
        <v>0.39325368329836963</v>
      </c>
    </row>
    <row r="5" spans="1:12" x14ac:dyDescent="0.3">
      <c r="A5" s="4" t="s">
        <v>4</v>
      </c>
      <c r="B5">
        <f>1-('Portfolio equity assets '!B5)/('Portfolio equity assets '!B5+('Market Cap'!B5/1000000)-'Portfolio equity liabilities '!B5)</f>
        <v>0.54063900899098394</v>
      </c>
      <c r="C5">
        <f>1-('Portfolio equity assets '!C5)/('Portfolio equity assets '!C5+('Market Cap'!C5/1000000)-'Portfolio equity liabilities '!C5)</f>
        <v>0.55426842073281912</v>
      </c>
      <c r="D5">
        <f>1-('Portfolio equity assets '!D5)/('Portfolio equity assets '!D5+('Market Cap'!D5/1000000)-'Portfolio equity liabilities '!D5)</f>
        <v>0.59823059528958411</v>
      </c>
      <c r="E5">
        <f>1-('Portfolio equity assets '!E5)/('Portfolio equity assets '!E5+('Market Cap'!E5/1000000)-'Portfolio equity liabilities '!E5)</f>
        <v>0.62724950453119788</v>
      </c>
      <c r="F5">
        <f>1-('Portfolio equity assets '!F5)/('Portfolio equity assets '!F5+('Market Cap'!F5/1000000)-'Portfolio equity liabilities '!F5)</f>
        <v>0.65882787761385819</v>
      </c>
      <c r="G5">
        <f>1-('Portfolio equity assets '!G5)/('Portfolio equity assets '!G5+('Market Cap'!G5/1000000)-'Portfolio equity liabilities '!G5)</f>
        <v>0.70759472015338121</v>
      </c>
      <c r="H5">
        <f>1-('Portfolio equity assets '!H5)/('Portfolio equity assets '!H5+('Market Cap'!H5/1000000)-'Portfolio equity liabilities '!H5)</f>
        <v>0.57497591216666044</v>
      </c>
      <c r="I5">
        <f>1-('Portfolio equity assets '!I5)/('Portfolio equity assets '!I5+('Market Cap'!I5/1000000)-'Portfolio equity liabilities '!I5)</f>
        <v>0.57434736841925593</v>
      </c>
      <c r="J5">
        <f>1-('Portfolio equity assets '!J5)/('Portfolio equity assets '!J5+('Market Cap'!J5/1000000)-'Portfolio equity liabilities '!J5)</f>
        <v>0.57671436437075485</v>
      </c>
      <c r="K5">
        <f>1-('Portfolio equity assets '!K5)/('Portfolio equity assets '!K5+('Market Cap'!K5/1000000)-'Portfolio equity liabilities '!K5)</f>
        <v>0.51055163616133814</v>
      </c>
      <c r="L5">
        <f>1-('Portfolio equity assets '!L5)/('Portfolio equity assets '!L5+('Market Cap'!L5/1000000)-'Portfolio equity liabilities '!L5)</f>
        <v>0.49833220345531637</v>
      </c>
    </row>
    <row r="6" spans="1:12" x14ac:dyDescent="0.3">
      <c r="A6" s="4" t="s">
        <v>5</v>
      </c>
      <c r="B6">
        <f>1-('Portfolio equity assets '!B6)/('Portfolio equity assets '!B6+('Market Cap'!B6/1000000)-'Portfolio equity liabilities '!B6)</f>
        <v>0.80380626897555585</v>
      </c>
      <c r="C6">
        <f>1-('Portfolio equity assets '!C6)/('Portfolio equity assets '!C6+('Market Cap'!C6/1000000)-'Portfolio equity liabilities '!C6)</f>
        <v>0.78487726155243309</v>
      </c>
      <c r="D6">
        <f>1-('Portfolio equity assets '!D6)/('Portfolio equity assets '!D6+('Market Cap'!D6/1000000)-'Portfolio equity liabilities '!D6)</f>
        <v>0.77626876361295438</v>
      </c>
      <c r="E6">
        <f>1-('Portfolio equity assets '!E6)/('Portfolio equity assets '!E6+('Market Cap'!E6/1000000)-'Portfolio equity liabilities '!E6)</f>
        <v>0.77578424024281367</v>
      </c>
      <c r="F6">
        <f>1-('Portfolio equity assets '!F6)/('Portfolio equity assets '!F6+('Market Cap'!F6/1000000)-'Portfolio equity liabilities '!F6)</f>
        <v>0.77673218547744538</v>
      </c>
      <c r="G6">
        <f>1-('Portfolio equity assets '!G6)/('Portfolio equity assets '!G6+('Market Cap'!G6/1000000)-'Portfolio equity liabilities '!G6)</f>
        <v>0.74295490606367642</v>
      </c>
      <c r="H6">
        <f>1-('Portfolio equity assets '!H6)/('Portfolio equity assets '!H6+('Market Cap'!H6/1000000)-'Portfolio equity liabilities '!H6)</f>
        <v>0.73578997973294613</v>
      </c>
      <c r="I6">
        <f>1-('Portfolio equity assets '!I6)/('Portfolio equity assets '!I6+('Market Cap'!I6/1000000)-'Portfolio equity liabilities '!I6)</f>
        <v>0.74171493933258437</v>
      </c>
      <c r="J6">
        <f>1-('Portfolio equity assets '!J6)/('Portfolio equity assets '!J6+('Market Cap'!J6/1000000)-'Portfolio equity liabilities '!J6)</f>
        <v>0.71797421894412139</v>
      </c>
      <c r="K6">
        <f>1-('Portfolio equity assets '!K6)/('Portfolio equity assets '!K6+('Market Cap'!K6/1000000)-'Portfolio equity liabilities '!K6)</f>
        <v>0.70052027473907907</v>
      </c>
      <c r="L6">
        <f>1-('Portfolio equity assets '!L6)/('Portfolio equity assets '!L6+('Market Cap'!L6/1000000)-'Portfolio equity liabilities '!L6)</f>
        <v>0.72340931859418078</v>
      </c>
    </row>
    <row r="7" spans="1:12" x14ac:dyDescent="0.3">
      <c r="A7" s="4" t="s">
        <v>6</v>
      </c>
      <c r="B7">
        <f>1-('Portfolio equity assets '!B7)/('Portfolio equity assets '!B7+('Market Cap'!B7/1000000)-'Portfolio equity liabilities '!B7)</f>
        <v>0.82856539410952557</v>
      </c>
      <c r="C7">
        <f>1-('Portfolio equity assets '!C7)/('Portfolio equity assets '!C7+('Market Cap'!C7/1000000)-'Portfolio equity liabilities '!C7)</f>
        <v>0.84298177401956376</v>
      </c>
      <c r="D7">
        <f>1-('Portfolio equity assets '!D7)/('Portfolio equity assets '!D7+('Market Cap'!D7/1000000)-'Portfolio equity liabilities '!D7)</f>
        <v>0.81584514870347746</v>
      </c>
      <c r="E7">
        <f>1-('Portfolio equity assets '!E7)/('Portfolio equity assets '!E7+('Market Cap'!E7/1000000)-'Portfolio equity liabilities '!E7)</f>
        <v>0.78578568219883194</v>
      </c>
      <c r="F7">
        <f>1-('Portfolio equity assets '!F7)/('Portfolio equity assets '!F7+('Market Cap'!F7/1000000)-'Portfolio equity liabilities '!F7)</f>
        <v>0.7660717556450507</v>
      </c>
      <c r="G7">
        <f>1-('Portfolio equity assets '!G7)/('Portfolio equity assets '!G7+('Market Cap'!G7/1000000)-'Portfolio equity liabilities '!G7)</f>
        <v>0.7059616788961518</v>
      </c>
      <c r="H7">
        <f>1-('Portfolio equity assets '!H7)/('Portfolio equity assets '!H7+('Market Cap'!H7/1000000)-'Portfolio equity liabilities '!H7)</f>
        <v>0.62778028095354343</v>
      </c>
      <c r="I7">
        <f>1-('Portfolio equity assets '!I7)/('Portfolio equity assets '!I7+('Market Cap'!I7/1000000)-'Portfolio equity liabilities '!I7)</f>
        <v>0.59108754950163556</v>
      </c>
      <c r="J7">
        <f>1-('Portfolio equity assets '!J7)/('Portfolio equity assets '!J7+('Market Cap'!J7/1000000)-'Portfolio equity liabilities '!J7)</f>
        <v>0.57355401800042971</v>
      </c>
      <c r="K7">
        <f>1-('Portfolio equity assets '!K7)/('Portfolio equity assets '!K7+('Market Cap'!K7/1000000)-'Portfolio equity liabilities '!K7)</f>
        <v>0.61054242520069169</v>
      </c>
      <c r="L7">
        <f>1-('Portfolio equity assets '!L7)/('Portfolio equity assets '!L7+('Market Cap'!L7/1000000)-'Portfolio equity liabilities '!L7)</f>
        <v>0.63419986267723405</v>
      </c>
    </row>
    <row r="8" spans="1:12" x14ac:dyDescent="0.3">
      <c r="A8" s="4" t="s">
        <v>7</v>
      </c>
      <c r="B8">
        <f>1-('Portfolio equity assets '!B8)/('Portfolio equity assets '!B8+('Market Cap'!B8/1000000)-'Portfolio equity liabilities '!B8)</f>
        <v>0.98344512150768071</v>
      </c>
      <c r="C8">
        <f>1-('Portfolio equity assets '!C8)/('Portfolio equity assets '!C8+('Market Cap'!C8/1000000)-'Portfolio equity liabilities '!C8)</f>
        <v>0.98386011067767998</v>
      </c>
      <c r="D8">
        <f>1-('Portfolio equity assets '!D8)/('Portfolio equity assets '!D8+('Market Cap'!D8/1000000)-'Portfolio equity liabilities '!D8)</f>
        <v>0.97560862524760239</v>
      </c>
      <c r="E8">
        <f>1-('Portfolio equity assets '!E8)/('Portfolio equity assets '!E8+('Market Cap'!E8/1000000)-'Portfolio equity liabilities '!E8)</f>
        <v>0.96203555993629264</v>
      </c>
      <c r="F8">
        <f>1-('Portfolio equity assets '!F8)/('Portfolio equity assets '!F8+('Market Cap'!F8/1000000)-'Portfolio equity liabilities '!F8)</f>
        <v>0.93195941408135075</v>
      </c>
      <c r="G8">
        <f>1-('Portfolio equity assets '!G8)/('Portfolio equity assets '!G8+('Market Cap'!G8/1000000)-'Portfolio equity liabilities '!G8)</f>
        <v>0.93417017242768008</v>
      </c>
      <c r="H8">
        <f>1-('Portfolio equity assets '!H8)/('Portfolio equity assets '!H8+('Market Cap'!H8/1000000)-'Portfolio equity liabilities '!H8)</f>
        <v>0.90477269645006642</v>
      </c>
      <c r="I8">
        <f>1-('Portfolio equity assets '!I8)/('Portfolio equity assets '!I8+('Market Cap'!I8/1000000)-'Portfolio equity liabilities '!I8)</f>
        <v>0.8150081265515956</v>
      </c>
      <c r="J8">
        <f>1-('Portfolio equity assets '!J8)/('Portfolio equity assets '!J8+('Market Cap'!J8/1000000)-'Portfolio equity liabilities '!J8)</f>
        <v>0.75589145138472491</v>
      </c>
      <c r="K8">
        <f>1-('Portfolio equity assets '!K8)/('Portfolio equity assets '!K8+('Market Cap'!K8/1000000)-'Portfolio equity liabilities '!K8)</f>
        <v>0.6839919439316855</v>
      </c>
      <c r="L8">
        <f>1-('Portfolio equity assets '!L8)/('Portfolio equity assets '!L8+('Market Cap'!L8/1000000)-'Portfolio equity liabilities '!L8)</f>
        <v>0.64986035203109371</v>
      </c>
    </row>
    <row r="9" spans="1:12" x14ac:dyDescent="0.3">
      <c r="A9" s="4" t="s">
        <v>8</v>
      </c>
      <c r="B9">
        <f>1-('Portfolio equity assets '!B9)/('Portfolio equity assets '!B9+('Market Cap'!B9/1000000)-'Portfolio equity liabilities '!B9)</f>
        <v>0.87145567351114206</v>
      </c>
      <c r="C9">
        <f>1-('Portfolio equity assets '!C9)/('Portfolio equity assets '!C9+('Market Cap'!C9/1000000)-'Portfolio equity liabilities '!C9)</f>
        <v>0.86657205678615168</v>
      </c>
      <c r="D9">
        <f>1-('Portfolio equity assets '!D9)/('Portfolio equity assets '!D9+('Market Cap'!D9/1000000)-'Portfolio equity liabilities '!D9)</f>
        <v>0.87302980984617928</v>
      </c>
      <c r="E9">
        <f>1-('Portfolio equity assets '!E9)/('Portfolio equity assets '!E9+('Market Cap'!E9/1000000)-'Portfolio equity liabilities '!E9)</f>
        <v>0.85565346850328139</v>
      </c>
      <c r="F9">
        <f>1-('Portfolio equity assets '!F9)/('Portfolio equity assets '!F9+('Market Cap'!F9/1000000)-'Portfolio equity liabilities '!F9)</f>
        <v>0.82452805699063647</v>
      </c>
      <c r="G9">
        <f>1-('Portfolio equity assets '!G9)/('Portfolio equity assets '!G9+('Market Cap'!G9/1000000)-'Portfolio equity liabilities '!G9)</f>
        <v>0.82849516602298778</v>
      </c>
      <c r="H9">
        <f>1-('Portfolio equity assets '!H9)/('Portfolio equity assets '!H9+('Market Cap'!H9/1000000)-'Portfolio equity liabilities '!H9)</f>
        <v>0.83894797536087617</v>
      </c>
      <c r="I9">
        <f>1-('Portfolio equity assets '!I9)/('Portfolio equity assets '!I9+('Market Cap'!I9/1000000)-'Portfolio equity liabilities '!I9)</f>
        <v>0.81806308177178133</v>
      </c>
      <c r="J9">
        <f>1-('Portfolio equity assets '!J9)/('Portfolio equity assets '!J9+('Market Cap'!J9/1000000)-'Portfolio equity liabilities '!J9)</f>
        <v>0.78988693593791304</v>
      </c>
      <c r="K9">
        <f>1-('Portfolio equity assets '!K9)/('Portfolio equity assets '!K9+('Market Cap'!K9/1000000)-'Portfolio equity liabilities '!K9)</f>
        <v>0.75655874682669833</v>
      </c>
      <c r="L9">
        <f>1-('Portfolio equity assets '!L9)/('Portfolio equity assets '!L9+('Market Cap'!L9/1000000)-'Portfolio equity liabilities '!L9)</f>
        <v>0.71770474218566882</v>
      </c>
    </row>
    <row r="10" spans="1:12" x14ac:dyDescent="0.3">
      <c r="A10" s="4" t="s">
        <v>9</v>
      </c>
      <c r="B10">
        <f>1-('Portfolio equity assets '!B10)/('Portfolio equity assets '!B10+('Market Cap'!B10/1000000)-'Portfolio equity liabilities '!B10)</f>
        <v>0.76250169748806229</v>
      </c>
      <c r="C10">
        <f>1-('Portfolio equity assets '!C10)/('Portfolio equity assets '!C10+('Market Cap'!C10/1000000)-'Portfolio equity liabilities '!C10)</f>
        <v>0.7179069739410604</v>
      </c>
      <c r="D10">
        <f>1-('Portfolio equity assets '!D10)/('Portfolio equity assets '!D10+('Market Cap'!D10/1000000)-'Portfolio equity liabilities '!D10)</f>
        <v>0.73761950704564572</v>
      </c>
      <c r="E10">
        <f>1-('Portfolio equity assets '!E10)/('Portfolio equity assets '!E10+('Market Cap'!E10/1000000)-'Portfolio equity liabilities '!E10)</f>
        <v>0.73894224941000741</v>
      </c>
      <c r="F10">
        <f>1-('Portfolio equity assets '!F10)/('Portfolio equity assets '!F10+('Market Cap'!F10/1000000)-'Portfolio equity liabilities '!F10)</f>
        <v>0.72558535931184664</v>
      </c>
      <c r="G10">
        <f>1-('Portfolio equity assets '!G10)/('Portfolio equity assets '!G10+('Market Cap'!G10/1000000)-'Portfolio equity liabilities '!G10)</f>
        <v>0.68450085337036559</v>
      </c>
      <c r="H10">
        <f>1-('Portfolio equity assets '!H10)/('Portfolio equity assets '!H10+('Market Cap'!H10/1000000)-'Portfolio equity liabilities '!H10)</f>
        <v>0.67575092323412633</v>
      </c>
      <c r="I10">
        <f>1-('Portfolio equity assets '!I10)/('Portfolio equity assets '!I10+('Market Cap'!I10/1000000)-'Portfolio equity liabilities '!I10)</f>
        <v>0.62849746660697525</v>
      </c>
      <c r="J10">
        <f>1-('Portfolio equity assets '!J10)/('Portfolio equity assets '!J10+('Market Cap'!J10/1000000)-'Portfolio equity liabilities '!J10)</f>
        <v>0.61292234664739631</v>
      </c>
      <c r="K10">
        <f>1-('Portfolio equity assets '!K10)/('Portfolio equity assets '!K10+('Market Cap'!K10/1000000)-'Portfolio equity liabilities '!K10)</f>
        <v>0.52216470243637381</v>
      </c>
      <c r="L10">
        <f>1-('Portfolio equity assets '!L10)/('Portfolio equity assets '!L10+('Market Cap'!L10/1000000)-'Portfolio equity liabilities '!L10)</f>
        <v>0.5542759328920519</v>
      </c>
    </row>
    <row r="11" spans="1:12" x14ac:dyDescent="0.3">
      <c r="A11" s="4" t="s">
        <v>10</v>
      </c>
      <c r="B11">
        <f>1-('Portfolio equity assets '!B11)/('Portfolio equity assets '!B11+('Market Cap'!B11/1000000)-'Portfolio equity liabilities '!B11)</f>
        <v>0.96521563594080417</v>
      </c>
      <c r="C11">
        <f>1-('Portfolio equity assets '!C11)/('Portfolio equity assets '!C11+('Market Cap'!C11/1000000)-'Portfolio equity liabilities '!C11)</f>
        <v>0.96884881663855704</v>
      </c>
      <c r="D11">
        <f>1-('Portfolio equity assets '!D11)/('Portfolio equity assets '!D11+('Market Cap'!D11/1000000)-'Portfolio equity liabilities '!D11)</f>
        <v>0.96514238348499148</v>
      </c>
      <c r="E11">
        <f>1-('Portfolio equity assets '!E11)/('Portfolio equity assets '!E11+('Market Cap'!E11/1000000)-'Portfolio equity liabilities '!E11)</f>
        <v>0.97090899648442819</v>
      </c>
      <c r="F11">
        <f>1-('Portfolio equity assets '!F11)/('Portfolio equity assets '!F11+('Market Cap'!F11/1000000)-'Portfolio equity liabilities '!F11)</f>
        <v>0.96616804560925185</v>
      </c>
      <c r="G11">
        <f>1-('Portfolio equity assets '!G11)/('Portfolio equity assets '!G11+('Market Cap'!G11/1000000)-'Portfolio equity liabilities '!G11)</f>
        <v>0.98298346055979646</v>
      </c>
      <c r="H11">
        <f>1-('Portfolio equity assets '!H11)/('Portfolio equity assets '!H11+('Market Cap'!H11/1000000)-'Portfolio equity liabilities '!H11)</f>
        <v>0.99396656951784701</v>
      </c>
      <c r="I11">
        <f>1-('Portfolio equity assets '!I11)/('Portfolio equity assets '!I11+('Market Cap'!I11/1000000)-'Portfolio equity liabilities '!I11)</f>
        <v>0.98688592199603953</v>
      </c>
      <c r="J11">
        <f>1-('Portfolio equity assets '!J11)/('Portfolio equity assets '!J11+('Market Cap'!J11/1000000)-'Portfolio equity liabilities '!J11)</f>
        <v>0.96855349499186238</v>
      </c>
      <c r="K11">
        <f>1-('Portfolio equity assets '!K11)/('Portfolio equity assets '!K11+('Market Cap'!K11/1000000)-'Portfolio equity liabilities '!K11)</f>
        <v>0.9587267413664543</v>
      </c>
      <c r="L11">
        <f>1-('Portfolio equity assets '!L11)/('Portfolio equity assets '!L11+('Market Cap'!L11/1000000)-'Portfolio equity liabilities '!L11)</f>
        <v>0.9538717643847956</v>
      </c>
    </row>
    <row r="12" spans="1:12" x14ac:dyDescent="0.3">
      <c r="A12" s="4" t="s">
        <v>11</v>
      </c>
      <c r="B12">
        <f>1-('Portfolio equity assets '!B12)/('Portfolio equity assets '!B12+('Market Cap'!B12/1000000)-'Portfolio equity liabilities '!B12)</f>
        <v>0.95637396894276672</v>
      </c>
      <c r="C12">
        <f>1-('Portfolio equity assets '!C12)/('Portfolio equity assets '!C12+('Market Cap'!C12/1000000)-'Portfolio equity liabilities '!C12)</f>
        <v>0.91037717527147011</v>
      </c>
      <c r="D12">
        <f>1-('Portfolio equity assets '!D12)/('Portfolio equity assets '!D12+('Market Cap'!D12/1000000)-'Portfolio equity liabilities '!D12)</f>
        <v>0.87535588932608766</v>
      </c>
      <c r="E12">
        <f>1-('Portfolio equity assets '!E12)/('Portfolio equity assets '!E12+('Market Cap'!E12/1000000)-'Portfolio equity liabilities '!E12)</f>
        <v>0.86885512391017916</v>
      </c>
      <c r="F12">
        <f>1-('Portfolio equity assets '!F12)/('Portfolio equity assets '!F12+('Market Cap'!F12/1000000)-'Portfolio equity liabilities '!F12)</f>
        <v>0.82378584603864446</v>
      </c>
      <c r="G12">
        <f>1-('Portfolio equity assets '!G12)/('Portfolio equity assets '!G12+('Market Cap'!G12/1000000)-'Portfolio equity liabilities '!G12)</f>
        <v>0.78877182167216842</v>
      </c>
      <c r="H12">
        <f>1-('Portfolio equity assets '!H12)/('Portfolio equity assets '!H12+('Market Cap'!H12/1000000)-'Portfolio equity liabilities '!H12)</f>
        <v>0.73480055597417038</v>
      </c>
      <c r="I12">
        <f>1-('Portfolio equity assets '!I12)/('Portfolio equity assets '!I12+('Market Cap'!I12/1000000)-'Portfolio equity liabilities '!I12)</f>
        <v>0.68657215564201346</v>
      </c>
      <c r="J12">
        <f>1-('Portfolio equity assets '!J12)/('Portfolio equity assets '!J12+('Market Cap'!J12/1000000)-'Portfolio equity liabilities '!J12)</f>
        <v>0.69739443598702988</v>
      </c>
      <c r="K12">
        <f>1-('Portfolio equity assets '!K12)/('Portfolio equity assets '!K12+('Market Cap'!K12/1000000)-'Portfolio equity liabilities '!K12)</f>
        <v>0.76707105051881341</v>
      </c>
      <c r="L12">
        <f>1-('Portfolio equity assets '!L12)/('Portfolio equity assets '!L12+('Market Cap'!L12/1000000)-'Portfolio equity liabilities '!L12)</f>
        <v>0.7387367269988101</v>
      </c>
    </row>
    <row r="13" spans="1:12" x14ac:dyDescent="0.3">
      <c r="A13" s="4" t="s">
        <v>12</v>
      </c>
      <c r="B13">
        <f>1-('Portfolio equity assets '!B13)/('Portfolio equity assets '!B13+('Market Cap'!B13/1000000)-'Portfolio equity liabilities '!B13)</f>
        <v>0.41667125018416373</v>
      </c>
      <c r="C13">
        <f>1-('Portfolio equity assets '!C13)/('Portfolio equity assets '!C13+('Market Cap'!C13/1000000)-'Portfolio equity liabilities '!C13)</f>
        <v>0.25904376762835957</v>
      </c>
      <c r="D13">
        <f>1-('Portfolio equity assets '!D13)/('Portfolio equity assets '!D13+('Market Cap'!D13/1000000)-'Portfolio equity liabilities '!D13)</f>
        <v>-0.31170916435696583</v>
      </c>
      <c r="E13">
        <f>1-('Portfolio equity assets '!E13)/('Portfolio equity assets '!E13+('Market Cap'!E13/1000000)-'Portfolio equity liabilities '!E13)</f>
        <v>-0.57892400628577723</v>
      </c>
      <c r="F13">
        <f>1-('Portfolio equity assets '!F13)/('Portfolio equity assets '!F13+('Market Cap'!F13/1000000)-'Portfolio equity liabilities '!F13)</f>
        <v>-0.53211522732280603</v>
      </c>
      <c r="G13">
        <f>1-('Portfolio equity assets '!G13)/('Portfolio equity assets '!G13+('Market Cap'!G13/1000000)-'Portfolio equity liabilities '!G13)</f>
        <v>-2.4355897516851508</v>
      </c>
      <c r="H13">
        <f>1-('Portfolio equity assets '!H13)/('Portfolio equity assets '!H13+('Market Cap'!H13/1000000)-'Portfolio equity liabilities '!H13)</f>
        <v>-3.4125001170959397</v>
      </c>
      <c r="I13">
        <f>1-('Portfolio equity assets '!I13)/('Portfolio equity assets '!I13+('Market Cap'!I13/1000000)-'Portfolio equity liabilities '!I13)</f>
        <v>28.720743943304807</v>
      </c>
      <c r="J13">
        <f>1-('Portfolio equity assets '!J13)/('Portfolio equity assets '!J13+('Market Cap'!J13/1000000)-'Portfolio equity liabilities '!J13)</f>
        <v>2.9062525079098913</v>
      </c>
      <c r="K13">
        <f>1-('Portfolio equity assets '!K13)/('Portfolio equity assets '!K13+('Market Cap'!K13/1000000)-'Portfolio equity liabilities '!K13)</f>
        <v>2.1710396980497197</v>
      </c>
      <c r="L13">
        <f>1-('Portfolio equity assets '!L13)/('Portfolio equity assets '!L13+('Market Cap'!L13/1000000)-'Portfolio equity liabilities '!L13)</f>
        <v>2.27773125756082</v>
      </c>
    </row>
    <row r="14" spans="1:12" x14ac:dyDescent="0.3">
      <c r="A14" s="4" t="s">
        <v>13</v>
      </c>
      <c r="B14">
        <f>1-('Portfolio equity assets '!B14)/('Portfolio equity assets '!B14+('Market Cap'!B14/1000000)-'Portfolio equity liabilities '!B14)</f>
        <v>0.76336218531419919</v>
      </c>
      <c r="C14">
        <f>1-('Portfolio equity assets '!C14)/('Portfolio equity assets '!C14+('Market Cap'!C14/1000000)-'Portfolio equity liabilities '!C14)</f>
        <v>0.80583047680118558</v>
      </c>
      <c r="D14">
        <f>1-('Portfolio equity assets '!D14)/('Portfolio equity assets '!D14+('Market Cap'!D14/1000000)-'Portfolio equity liabilities '!D14)</f>
        <v>0.78277386822244965</v>
      </c>
      <c r="E14">
        <f>1-('Portfolio equity assets '!E14)/('Portfolio equity assets '!E14+('Market Cap'!E14/1000000)-'Portfolio equity liabilities '!E14)</f>
        <v>0.76036970830928186</v>
      </c>
      <c r="F14">
        <f>1-('Portfolio equity assets '!F14)/('Portfolio equity assets '!F14+('Market Cap'!F14/1000000)-'Portfolio equity liabilities '!F14)</f>
        <v>0.73028170268564208</v>
      </c>
      <c r="G14">
        <f>1-('Portfolio equity assets '!G14)/('Portfolio equity assets '!G14+('Market Cap'!G14/1000000)-'Portfolio equity liabilities '!G14)</f>
        <v>0.76579545608439048</v>
      </c>
      <c r="H14">
        <f>1-('Portfolio equity assets '!H14)/('Portfolio equity assets '!H14+('Market Cap'!H14/1000000)-'Portfolio equity liabilities '!H14)</f>
        <v>0.71437381613797757</v>
      </c>
      <c r="I14">
        <f>1-('Portfolio equity assets '!I14)/('Portfolio equity assets '!I14+('Market Cap'!I14/1000000)-'Portfolio equity liabilities '!I14)</f>
        <v>0.66339972142600079</v>
      </c>
      <c r="J14">
        <f>1-('Portfolio equity assets '!J14)/('Portfolio equity assets '!J14+('Market Cap'!J14/1000000)-'Portfolio equity liabilities '!J14)</f>
        <v>0.60361974076680236</v>
      </c>
      <c r="K14">
        <f>1-('Portfolio equity assets '!K14)/('Portfolio equity assets '!K14+('Market Cap'!K14/1000000)-'Portfolio equity liabilities '!K14)</f>
        <v>0.56337930590761098</v>
      </c>
      <c r="L14">
        <f>1-('Portfolio equity assets '!L14)/('Portfolio equity assets '!L14+('Market Cap'!L14/1000000)-'Portfolio equity liabilities '!L14)</f>
        <v>0.54297561559206942</v>
      </c>
    </row>
    <row r="15" spans="1:12" x14ac:dyDescent="0.3">
      <c r="A15" s="4" t="s">
        <v>14</v>
      </c>
      <c r="B15">
        <f>1-('Portfolio equity assets '!B15)/('Portfolio equity assets '!B15+('Market Cap'!B15/1000000)-'Portfolio equity liabilities '!B15)</f>
        <v>0.96301914740684946</v>
      </c>
      <c r="C15">
        <f>1-('Portfolio equity assets '!C15)/('Portfolio equity assets '!C15+('Market Cap'!C15/1000000)-'Portfolio equity liabilities '!C15)</f>
        <v>0.96682080248439861</v>
      </c>
      <c r="D15">
        <f>1-('Portfolio equity assets '!D15)/('Portfolio equity assets '!D15+('Market Cap'!D15/1000000)-'Portfolio equity liabilities '!D15)</f>
        <v>0.95829782321350543</v>
      </c>
      <c r="E15">
        <f>1-('Portfolio equity assets '!E15)/('Portfolio equity assets '!E15+('Market Cap'!E15/1000000)-'Portfolio equity liabilities '!E15)</f>
        <v>0.9470922981629476</v>
      </c>
      <c r="F15">
        <f>1-('Portfolio equity assets '!F15)/('Portfolio equity assets '!F15+('Market Cap'!F15/1000000)-'Portfolio equity liabilities '!F15)</f>
        <v>0.92431837413155349</v>
      </c>
      <c r="G15">
        <f>1-('Portfolio equity assets '!G15)/('Portfolio equity assets '!G15+('Market Cap'!G15/1000000)-'Portfolio equity liabilities '!G15)</f>
        <v>0.91286323730266516</v>
      </c>
      <c r="H15">
        <f>1-('Portfolio equity assets '!H15)/('Portfolio equity assets '!H15+('Market Cap'!H15/1000000)-'Portfolio equity liabilities '!H15)</f>
        <v>0.92875968401787135</v>
      </c>
      <c r="I15">
        <f>1-('Portfolio equity assets '!I15)/('Portfolio equity assets '!I15+('Market Cap'!I15/1000000)-'Portfolio equity liabilities '!I15)</f>
        <v>0.90859889700523921</v>
      </c>
      <c r="J15">
        <f>1-('Portfolio equity assets '!J15)/('Portfolio equity assets '!J15+('Market Cap'!J15/1000000)-'Portfolio equity liabilities '!J15)</f>
        <v>0.89189788837191364</v>
      </c>
      <c r="K15">
        <f>1-('Portfolio equity assets '!K15)/('Portfolio equity assets '!K15+('Market Cap'!K15/1000000)-'Portfolio equity liabilities '!K15)</f>
        <v>0.89443066469521348</v>
      </c>
      <c r="L15">
        <f>1-('Portfolio equity assets '!L15)/('Portfolio equity assets '!L15+('Market Cap'!L15/1000000)-'Portfolio equity liabilities '!L15)</f>
        <v>0.90034563783818156</v>
      </c>
    </row>
    <row r="16" spans="1:12" x14ac:dyDescent="0.3">
      <c r="A16" s="4" t="s">
        <v>15</v>
      </c>
      <c r="B16">
        <f>1-('Portfolio equity assets '!B16)/('Portfolio equity assets '!B16+('Market Cap'!B16/1000000)-'Portfolio equity liabilities '!B16)</f>
        <v>0.98842522234622054</v>
      </c>
      <c r="C16">
        <f>1-('Portfolio equity assets '!C16)/('Portfolio equity assets '!C16+('Market Cap'!C16/1000000)-'Portfolio equity liabilities '!C16)</f>
        <v>0.98150235258400276</v>
      </c>
      <c r="D16">
        <f>1-('Portfolio equity assets '!D16)/('Portfolio equity assets '!D16+('Market Cap'!D16/1000000)-'Portfolio equity liabilities '!D16)</f>
        <v>0.96780295584471265</v>
      </c>
      <c r="E16">
        <f>1-('Portfolio equity assets '!E16)/('Portfolio equity assets '!E16+('Market Cap'!E16/1000000)-'Portfolio equity liabilities '!E16)</f>
        <v>0.96994374057871069</v>
      </c>
      <c r="F16">
        <f>1-('Portfolio equity assets '!F16)/('Portfolio equity assets '!F16+('Market Cap'!F16/1000000)-'Portfolio equity liabilities '!F16)</f>
        <v>0.97340531091238813</v>
      </c>
      <c r="G16">
        <f>1-('Portfolio equity assets '!G16)/('Portfolio equity assets '!G16+('Market Cap'!G16/1000000)-'Portfolio equity liabilities '!G16)</f>
        <v>0.94771672941578367</v>
      </c>
      <c r="H16">
        <f>1-('Portfolio equity assets '!H16)/('Portfolio equity assets '!H16+('Market Cap'!H16/1000000)-'Portfolio equity liabilities '!H16)</f>
        <v>0.9653303566430268</v>
      </c>
      <c r="I16">
        <f>1-('Portfolio equity assets '!I16)/('Portfolio equity assets '!I16+('Market Cap'!I16/1000000)-'Portfolio equity liabilities '!I16)</f>
        <v>0.96465169432142295</v>
      </c>
      <c r="J16">
        <f>1-('Portfolio equity assets '!J16)/('Portfolio equity assets '!J16+('Market Cap'!J16/1000000)-'Portfolio equity liabilities '!J16)</f>
        <v>0.90048092887833342</v>
      </c>
      <c r="K16">
        <f>1-('Portfolio equity assets '!K16)/('Portfolio equity assets '!K16+('Market Cap'!K16/1000000)-'Portfolio equity liabilities '!K16)</f>
        <v>0.89431265589913866</v>
      </c>
      <c r="L16">
        <f>1-('Portfolio equity assets '!L16)/('Portfolio equity assets '!L16+('Market Cap'!L16/1000000)-'Portfolio equity liabilities '!L16)</f>
        <v>0.8751491204429197</v>
      </c>
    </row>
    <row r="17" spans="1:12" x14ac:dyDescent="0.3">
      <c r="A17" s="4" t="s">
        <v>16</v>
      </c>
      <c r="B17">
        <f>1-('Portfolio equity assets '!B17)/('Portfolio equity assets '!B17+('Market Cap'!B17/1000000)-'Portfolio equity liabilities '!B17)</f>
        <v>0.60000238465826083</v>
      </c>
      <c r="C17">
        <f>1-('Portfolio equity assets '!C17)/('Portfolio equity assets '!C17+('Market Cap'!C17/1000000)-'Portfolio equity liabilities '!C17)</f>
        <v>0.72577974164088965</v>
      </c>
      <c r="D17">
        <f>1-('Portfolio equity assets '!D17)/('Portfolio equity assets '!D17+('Market Cap'!D17/1000000)-'Portfolio equity liabilities '!D17)</f>
        <v>0.71173462470226312</v>
      </c>
      <c r="E17">
        <f>1-('Portfolio equity assets '!E17)/('Portfolio equity assets '!E17+('Market Cap'!E17/1000000)-'Portfolio equity liabilities '!E17)</f>
        <v>0.64893002265883248</v>
      </c>
      <c r="F17">
        <f>1-('Portfolio equity assets '!F17)/('Portfolio equity assets '!F17+('Market Cap'!F17/1000000)-'Portfolio equity liabilities '!F17)</f>
        <v>0.66296513558570513</v>
      </c>
      <c r="G17">
        <f>1-('Portfolio equity assets '!G17)/('Portfolio equity assets '!G17+('Market Cap'!G17/1000000)-'Portfolio equity liabilities '!G17)</f>
        <v>0.62975431196956011</v>
      </c>
      <c r="H17">
        <f>1-('Portfolio equity assets '!H17)/('Portfolio equity assets '!H17+('Market Cap'!H17/1000000)-'Portfolio equity liabilities '!H17)</f>
        <v>0.57057640074829341</v>
      </c>
      <c r="I17">
        <f>1-('Portfolio equity assets '!I17)/('Portfolio equity assets '!I17+('Market Cap'!I17/1000000)-'Portfolio equity liabilities '!I17)</f>
        <v>0.53339228420541562</v>
      </c>
      <c r="J17">
        <f>1-('Portfolio equity assets '!J17)/('Portfolio equity assets '!J17+('Market Cap'!J17/1000000)-'Portfolio equity liabilities '!J17)</f>
        <v>0.42574509747202216</v>
      </c>
      <c r="K17">
        <f>1-('Portfolio equity assets '!K17)/('Portfolio equity assets '!K17+('Market Cap'!K17/1000000)-'Portfolio equity liabilities '!K17)</f>
        <v>0.3903915301869948</v>
      </c>
      <c r="L17">
        <f>1-('Portfolio equity assets '!L17)/('Portfolio equity assets '!L17+('Market Cap'!L17/1000000)-'Portfolio equity liabilities '!L17)</f>
        <v>0.3147468049188612</v>
      </c>
    </row>
    <row r="18" spans="1:12" x14ac:dyDescent="0.3">
      <c r="A18" s="4" t="s">
        <v>17</v>
      </c>
      <c r="B18">
        <f>1-('Portfolio equity assets '!B18)/('Portfolio equity assets '!B18+('Market Cap'!B18/1000000)-'Portfolio equity liabilities '!B18)</f>
        <v>0.97199158242996808</v>
      </c>
      <c r="C18">
        <f>1-('Portfolio equity assets '!C18)/('Portfolio equity assets '!C18+('Market Cap'!C18/1000000)-'Portfolio equity liabilities '!C18)</f>
        <v>0.95965943353815653</v>
      </c>
      <c r="D18">
        <f>1-('Portfolio equity assets '!D18)/('Portfolio equity assets '!D18+('Market Cap'!D18/1000000)-'Portfolio equity liabilities '!D18)</f>
        <v>0.9542721270139245</v>
      </c>
      <c r="E18">
        <f>1-('Portfolio equity assets '!E18)/('Portfolio equity assets '!E18+('Market Cap'!E18/1000000)-'Portfolio equity liabilities '!E18)</f>
        <v>0.87094596167867189</v>
      </c>
      <c r="F18">
        <f>1-('Portfolio equity assets '!F18)/('Portfolio equity assets '!F18+('Market Cap'!F18/1000000)-'Portfolio equity liabilities '!F18)</f>
        <v>0.84910304671774783</v>
      </c>
      <c r="G18">
        <f>1-('Portfolio equity assets '!G18)/('Portfolio equity assets '!G18+('Market Cap'!G18/1000000)-'Portfolio equity liabilities '!G18)</f>
        <v>0.80519607431477236</v>
      </c>
      <c r="H18">
        <f>1-('Portfolio equity assets '!H18)/('Portfolio equity assets '!H18+('Market Cap'!H18/1000000)-'Portfolio equity liabilities '!H18)</f>
        <v>0.82273935994670522</v>
      </c>
      <c r="I18">
        <f>1-('Portfolio equity assets '!I18)/('Portfolio equity assets '!I18+('Market Cap'!I18/1000000)-'Portfolio equity liabilities '!I18)</f>
        <v>0.68373282969765037</v>
      </c>
      <c r="J18">
        <f>1-('Portfolio equity assets '!J18)/('Portfolio equity assets '!J18+('Market Cap'!J18/1000000)-'Portfolio equity liabilities '!J18)</f>
        <v>0.53819717100359976</v>
      </c>
      <c r="K18">
        <f>1-('Portfolio equity assets '!K18)/('Portfolio equity assets '!K18+('Market Cap'!K18/1000000)-'Portfolio equity liabilities '!K18)</f>
        <v>0.55599921149562348</v>
      </c>
      <c r="L18">
        <f>1-('Portfolio equity assets '!L18)/('Portfolio equity assets '!L18+('Market Cap'!L18/1000000)-'Portfolio equity liabilities '!L18)</f>
        <v>0.57399340093331652</v>
      </c>
    </row>
    <row r="19" spans="1:12" x14ac:dyDescent="0.3">
      <c r="A19" s="4" t="s">
        <v>18</v>
      </c>
      <c r="B19">
        <f>1-('Portfolio equity assets '!B19)/('Portfolio equity assets '!B19+('Market Cap'!B19/1000000)-'Portfolio equity liabilities '!B19)</f>
        <v>0.77774423245651525</v>
      </c>
      <c r="C19">
        <f>1-('Portfolio equity assets '!C19)/('Portfolio equity assets '!C19+('Market Cap'!C19/1000000)-'Portfolio equity liabilities '!C19)</f>
        <v>0.8287565697816407</v>
      </c>
      <c r="D19">
        <f>1-('Portfolio equity assets '!D19)/('Portfolio equity assets '!D19+('Market Cap'!D19/1000000)-'Portfolio equity liabilities '!D19)</f>
        <v>0.82689920241425063</v>
      </c>
      <c r="E19">
        <f>1-('Portfolio equity assets '!E19)/('Portfolio equity assets '!E19+('Market Cap'!E19/1000000)-'Portfolio equity liabilities '!E19)</f>
        <v>0.81639068549953531</v>
      </c>
      <c r="F19">
        <f>1-('Portfolio equity assets '!F19)/('Portfolio equity assets '!F19+('Market Cap'!F19/1000000)-'Portfolio equity liabilities '!F19)</f>
        <v>0.79320139325972039</v>
      </c>
      <c r="G19">
        <f>1-('Portfolio equity assets '!G19)/('Portfolio equity assets '!G19+('Market Cap'!G19/1000000)-'Portfolio equity liabilities '!G19)</f>
        <v>0.58087812640688308</v>
      </c>
      <c r="H19">
        <f>1-('Portfolio equity assets '!H19)/('Portfolio equity assets '!H19+('Market Cap'!H19/1000000)-'Portfolio equity liabilities '!H19)</f>
        <v>0.58436427269170332</v>
      </c>
      <c r="I19">
        <f>1-('Portfolio equity assets '!I19)/('Portfolio equity assets '!I19+('Market Cap'!I19/1000000)-'Portfolio equity liabilities '!I19)</f>
        <v>0.52974729487227079</v>
      </c>
      <c r="J19">
        <f>1-('Portfolio equity assets '!J19)/('Portfolio equity assets '!J19+('Market Cap'!J19/1000000)-'Portfolio equity liabilities '!J19)</f>
        <v>0.56078256941936</v>
      </c>
      <c r="K19">
        <f>1-('Portfolio equity assets '!K19)/('Portfolio equity assets '!K19+('Market Cap'!K19/1000000)-'Portfolio equity liabilities '!K19)</f>
        <v>0.48399112235246156</v>
      </c>
      <c r="L19">
        <f>1-('Portfolio equity assets '!L19)/('Portfolio equity assets '!L19+('Market Cap'!L19/1000000)-'Portfolio equity liabilities '!L19)</f>
        <v>0.48588419478732769</v>
      </c>
    </row>
    <row r="20" spans="1:12" x14ac:dyDescent="0.3">
      <c r="A20" s="4" t="s">
        <v>19</v>
      </c>
      <c r="B20">
        <f>1-('Portfolio equity assets '!B20)/('Portfolio equity assets '!B20+('Market Cap'!B20/1000000)-'Portfolio equity liabilities '!B20)</f>
        <v>0.89787658372585732</v>
      </c>
      <c r="C20">
        <f>1-('Portfolio equity assets '!C20)/('Portfolio equity assets '!C20+('Market Cap'!C20/1000000)-'Portfolio equity liabilities '!C20)</f>
        <v>0.89544953203904432</v>
      </c>
      <c r="D20">
        <f>1-('Portfolio equity assets '!D20)/('Portfolio equity assets '!D20+('Market Cap'!D20/1000000)-'Portfolio equity liabilities '!D20)</f>
        <v>0.83801426278424129</v>
      </c>
      <c r="E20">
        <f>1-('Portfolio equity assets '!E20)/('Portfolio equity assets '!E20+('Market Cap'!E20/1000000)-'Portfolio equity liabilities '!E20)</f>
        <v>0.79301334374866017</v>
      </c>
      <c r="F20">
        <f>1-('Portfolio equity assets '!F20)/('Portfolio equity assets '!F20+('Market Cap'!F20/1000000)-'Portfolio equity liabilities '!F20)</f>
        <v>0.846778648857202</v>
      </c>
      <c r="G20">
        <f>1-('Portfolio equity assets '!G20)/('Portfolio equity assets '!G20+('Market Cap'!G20/1000000)-'Portfolio equity liabilities '!G20)</f>
        <v>0.88021740323994357</v>
      </c>
      <c r="H20">
        <f>1-('Portfolio equity assets '!H20)/('Portfolio equity assets '!H20+('Market Cap'!H20/1000000)-'Portfolio equity liabilities '!H20)</f>
        <v>0.84182627471714921</v>
      </c>
      <c r="I20">
        <f>1-('Portfolio equity assets '!I20)/('Portfolio equity assets '!I20+('Market Cap'!I20/1000000)-'Portfolio equity liabilities '!I20)</f>
        <v>0.81992639505040343</v>
      </c>
      <c r="J20">
        <f>1-('Portfolio equity assets '!J20)/('Portfolio equity assets '!J20+('Market Cap'!J20/1000000)-'Portfolio equity liabilities '!J20)</f>
        <v>0.77064852224502678</v>
      </c>
      <c r="K20">
        <f>1-('Portfolio equity assets '!K20)/('Portfolio equity assets '!K20+('Market Cap'!K20/1000000)-'Portfolio equity liabilities '!K20)</f>
        <v>0.7103988049568648</v>
      </c>
      <c r="L20">
        <f>1-('Portfolio equity assets '!L20)/('Portfolio equity assets '!L20+('Market Cap'!L20/1000000)-'Portfolio equity liabilities '!L20)</f>
        <v>0.62621112882180729</v>
      </c>
    </row>
    <row r="21" spans="1:12" x14ac:dyDescent="0.3">
      <c r="A21" s="4" t="s">
        <v>20</v>
      </c>
      <c r="B21">
        <f>1-('Portfolio equity assets '!B21)/('Portfolio equity assets '!B21+('Market Cap'!B21/1000000)-'Portfolio equity liabilities '!B21)</f>
        <v>0.94186600042377733</v>
      </c>
      <c r="C21">
        <f>1-('Portfolio equity assets '!C21)/('Portfolio equity assets '!C21+('Market Cap'!C21/1000000)-'Portfolio equity liabilities '!C21)</f>
        <v>0.94813913376794279</v>
      </c>
      <c r="D21">
        <f>1-('Portfolio equity assets '!D21)/('Portfolio equity assets '!D21+('Market Cap'!D21/1000000)-'Portfolio equity liabilities '!D21)</f>
        <v>0.94872539137282064</v>
      </c>
      <c r="E21">
        <f>1-('Portfolio equity assets '!E21)/('Portfolio equity assets '!E21+('Market Cap'!E21/1000000)-'Portfolio equity liabilities '!E21)</f>
        <v>0.94995312853891045</v>
      </c>
      <c r="F21">
        <f>1-('Portfolio equity assets '!F21)/('Portfolio equity assets '!F21+('Market Cap'!F21/1000000)-'Portfolio equity liabilities '!F21)</f>
        <v>0.91604819096795564</v>
      </c>
      <c r="G21">
        <f>1-('Portfolio equity assets '!G21)/('Portfolio equity assets '!G21+('Market Cap'!G21/1000000)-'Portfolio equity liabilities '!G21)</f>
        <v>0.89619951951403332</v>
      </c>
      <c r="H21">
        <f>1-('Portfolio equity assets '!H21)/('Portfolio equity assets '!H21+('Market Cap'!H21/1000000)-'Portfolio equity liabilities '!H21)</f>
        <v>0.80930134416705568</v>
      </c>
      <c r="I21">
        <f>1-('Portfolio equity assets '!I21)/('Portfolio equity assets '!I21+('Market Cap'!I21/1000000)-'Portfolio equity liabilities '!I21)</f>
        <v>0.80298134857896708</v>
      </c>
      <c r="J21">
        <f>1-('Portfolio equity assets '!J21)/('Portfolio equity assets '!J21+('Market Cap'!J21/1000000)-'Portfolio equity liabilities '!J21)</f>
        <v>0.8384350462009329</v>
      </c>
      <c r="K21">
        <f>1-('Portfolio equity assets '!K21)/('Portfolio equity assets '!K21+('Market Cap'!K21/1000000)-'Portfolio equity liabilities '!K21)</f>
        <v>0.86553877506430388</v>
      </c>
      <c r="L21">
        <f>1-('Portfolio equity assets '!L21)/('Portfolio equity assets '!L21+('Market Cap'!L21/1000000)-'Portfolio equity liabilities '!L21)</f>
        <v>0.869488184442476</v>
      </c>
    </row>
    <row r="22" spans="1:12" x14ac:dyDescent="0.3">
      <c r="A22" s="4" t="s">
        <v>21</v>
      </c>
      <c r="B22">
        <f>1-('Portfolio equity assets '!B22)/('Portfolio equity assets '!B22+('Market Cap'!B22/1000000)-'Portfolio equity liabilities '!B22)</f>
        <v>0.85040628895026926</v>
      </c>
      <c r="C22">
        <f>1-('Portfolio equity assets '!C22)/('Portfolio equity assets '!C22+('Market Cap'!C22/1000000)-'Portfolio equity liabilities '!C22)</f>
        <v>0.83905351537861872</v>
      </c>
      <c r="D22">
        <f>1-('Portfolio equity assets '!D22)/('Portfolio equity assets '!D22+('Market Cap'!D22/1000000)-'Portfolio equity liabilities '!D22)</f>
        <v>0.81381980807278687</v>
      </c>
      <c r="E22">
        <f>1-('Portfolio equity assets '!E22)/('Portfolio equity assets '!E22+('Market Cap'!E22/1000000)-'Portfolio equity liabilities '!E22)</f>
        <v>0.81991436912064208</v>
      </c>
      <c r="F22">
        <f>1-('Portfolio equity assets '!F22)/('Portfolio equity assets '!F22+('Market Cap'!F22/1000000)-'Portfolio equity liabilities '!F22)</f>
        <v>0.79040217781524713</v>
      </c>
      <c r="G22">
        <f>1-('Portfolio equity assets '!G22)/('Portfolio equity assets '!G22+('Market Cap'!G22/1000000)-'Portfolio equity liabilities '!G22)</f>
        <v>0.7217181699825963</v>
      </c>
      <c r="H22">
        <f>1-('Portfolio equity assets '!H22)/('Portfolio equity assets '!H22+('Market Cap'!H22/1000000)-'Portfolio equity liabilities '!H22)</f>
        <v>0.68372433760796048</v>
      </c>
      <c r="I22">
        <f>1-('Portfolio equity assets '!I22)/('Portfolio equity assets '!I22+('Market Cap'!I22/1000000)-'Portfolio equity liabilities '!I22)</f>
        <v>0.67263165897793109</v>
      </c>
      <c r="J22">
        <f>1-('Portfolio equity assets '!J22)/('Portfolio equity assets '!J22+('Market Cap'!J22/1000000)-'Portfolio equity liabilities '!J22)</f>
        <v>0.60076516475436748</v>
      </c>
      <c r="K22">
        <f>1-('Portfolio equity assets '!K22)/('Portfolio equity assets '!K22+('Market Cap'!K22/1000000)-'Portfolio equity liabilities '!K22)</f>
        <v>0.56452183644375464</v>
      </c>
      <c r="L22">
        <f>1-('Portfolio equity assets '!L22)/('Portfolio equity assets '!L22+('Market Cap'!L22/1000000)-'Portfolio equity liabilities '!L22)</f>
        <v>0.58400869293597912</v>
      </c>
    </row>
    <row r="23" spans="1:12" x14ac:dyDescent="0.3">
      <c r="A23" s="4" t="s">
        <v>22</v>
      </c>
      <c r="B23">
        <f>1-('Portfolio equity assets '!B23)/('Portfolio equity assets '!B23+('Market Cap'!B23/1000000)-'Portfolio equity liabilities '!B23)</f>
        <v>0.59869749369906522</v>
      </c>
      <c r="C23">
        <f>1-('Portfolio equity assets '!C23)/('Portfolio equity assets '!C23+('Market Cap'!C23/1000000)-'Portfolio equity liabilities '!C23)</f>
        <v>0.59708398025162512</v>
      </c>
      <c r="D23">
        <f>1-('Portfolio equity assets '!D23)/('Portfolio equity assets '!D23+('Market Cap'!D23/1000000)-'Portfolio equity liabilities '!D23)</f>
        <v>0.67844362718273454</v>
      </c>
      <c r="E23">
        <f>1-('Portfolio equity assets '!E23)/('Portfolio equity assets '!E23+('Market Cap'!E23/1000000)-'Portfolio equity liabilities '!E23)</f>
        <v>0.618826404228908</v>
      </c>
      <c r="F23">
        <f>1-('Portfolio equity assets '!F23)/('Portfolio equity assets '!F23+('Market Cap'!F23/1000000)-'Portfolio equity liabilities '!F23)</f>
        <v>0.66528207002312745</v>
      </c>
      <c r="G23">
        <f>1-('Portfolio equity assets '!G23)/('Portfolio equity assets '!G23+('Market Cap'!G23/1000000)-'Portfolio equity liabilities '!G23)</f>
        <v>0.635376946363304</v>
      </c>
      <c r="H23">
        <f>1-('Portfolio equity assets '!H23)/('Portfolio equity assets '!H23+('Market Cap'!H23/1000000)-'Portfolio equity liabilities '!H23)</f>
        <v>0.59303581019042562</v>
      </c>
      <c r="I23">
        <f>1-('Portfolio equity assets '!I23)/('Portfolio equity assets '!I23+('Market Cap'!I23/1000000)-'Portfolio equity liabilities '!I23)</f>
        <v>0.60553011017398695</v>
      </c>
      <c r="J23">
        <f>1-('Portfolio equity assets '!J23)/('Portfolio equity assets '!J23+('Market Cap'!J23/1000000)-'Portfolio equity liabilities '!J23)</f>
        <v>0.5551574157137219</v>
      </c>
      <c r="K23">
        <f>1-('Portfolio equity assets '!K23)/('Portfolio equity assets '!K23+('Market Cap'!K23/1000000)-'Portfolio equity liabilities '!K23)</f>
        <v>0.52138685619685532</v>
      </c>
      <c r="L23">
        <f>1-('Portfolio equity assets '!L23)/('Portfolio equity assets '!L23+('Market Cap'!L23/1000000)-'Portfolio equity liabilities '!L23)</f>
        <v>0.5248143737036931</v>
      </c>
    </row>
    <row r="24" spans="1:12" x14ac:dyDescent="0.3">
      <c r="A24" s="4" t="s">
        <v>23</v>
      </c>
      <c r="B24">
        <f>1-('Portfolio equity assets '!B24)/('Portfolio equity assets '!B24+('Market Cap'!B24/1000000)-'Portfolio equity liabilities '!B24)</f>
        <v>0.98218242138783929</v>
      </c>
      <c r="C24">
        <f>1-('Portfolio equity assets '!C24)/('Portfolio equity assets '!C24+('Market Cap'!C24/1000000)-'Portfolio equity liabilities '!C24)</f>
        <v>0.96769566913767091</v>
      </c>
      <c r="D24">
        <f>1-('Portfolio equity assets '!D24)/('Portfolio equity assets '!D24+('Market Cap'!D24/1000000)-'Portfolio equity liabilities '!D24)</f>
        <v>0.95675353553538056</v>
      </c>
      <c r="E24">
        <f>1-('Portfolio equity assets '!E24)/('Portfolio equity assets '!E24+('Market Cap'!E24/1000000)-'Portfolio equity liabilities '!E24)</f>
        <v>0.96678456211199981</v>
      </c>
      <c r="F24">
        <f>1-('Portfolio equity assets '!F24)/('Portfolio equity assets '!F24+('Market Cap'!F24/1000000)-'Portfolio equity liabilities '!F24)</f>
        <v>0.98047806370659407</v>
      </c>
      <c r="G24">
        <f>1-('Portfolio equity assets '!G24)/('Portfolio equity assets '!G24+('Market Cap'!G24/1000000)-'Portfolio equity liabilities '!G24)</f>
        <v>0.95722937018795862</v>
      </c>
      <c r="H24">
        <f>1-('Portfolio equity assets '!H24)/('Portfolio equity assets '!H24+('Market Cap'!H24/1000000)-'Portfolio equity liabilities '!H24)</f>
        <v>0.982584822573351</v>
      </c>
      <c r="I24">
        <f>1-('Portfolio equity assets '!I24)/('Portfolio equity assets '!I24+('Market Cap'!I24/1000000)-'Portfolio equity liabilities '!I24)</f>
        <v>0.97654127000232716</v>
      </c>
      <c r="J24">
        <f>1-('Portfolio equity assets '!J24)/('Portfolio equity assets '!J24+('Market Cap'!J24/1000000)-'Portfolio equity liabilities '!J24)</f>
        <v>0.97028334238470204</v>
      </c>
      <c r="K24">
        <f>1-('Portfolio equity assets '!K24)/('Portfolio equity assets '!K24+('Market Cap'!K24/1000000)-'Portfolio equity liabilities '!K24)</f>
        <v>0.96677731221991303</v>
      </c>
      <c r="L24">
        <f>1-('Portfolio equity assets '!L24)/('Portfolio equity assets '!L24+('Market Cap'!L24/1000000)-'Portfolio equity liabilities '!L24)</f>
        <v>0.97667553325815659</v>
      </c>
    </row>
    <row r="25" spans="1:12" x14ac:dyDescent="0.3">
      <c r="A25" s="4" t="s">
        <v>24</v>
      </c>
      <c r="B25">
        <f>1-('Portfolio equity assets '!B25)/('Portfolio equity assets '!B25+('Market Cap'!B25/1000000)-'Portfolio equity liabilities '!B25)</f>
        <v>0.76841284441120017</v>
      </c>
      <c r="C25">
        <f>1-('Portfolio equity assets '!C25)/('Portfolio equity assets '!C25+('Market Cap'!C25/1000000)-'Portfolio equity liabilities '!C25)</f>
        <v>0.7763201404391632</v>
      </c>
      <c r="D25">
        <f>1-('Portfolio equity assets '!D25)/('Portfolio equity assets '!D25+('Market Cap'!D25/1000000)-'Portfolio equity liabilities '!D25)</f>
        <v>0.77221079148780292</v>
      </c>
      <c r="E25">
        <f>1-('Portfolio equity assets '!E25)/('Portfolio equity assets '!E25+('Market Cap'!E25/1000000)-'Portfolio equity liabilities '!E25)</f>
        <v>0.77020548049518878</v>
      </c>
      <c r="F25">
        <f>1-('Portfolio equity assets '!F25)/('Portfolio equity assets '!F25+('Market Cap'!F25/1000000)-'Portfolio equity liabilities '!F25)</f>
        <v>0.76224317036878042</v>
      </c>
      <c r="G25">
        <f>1-('Portfolio equity assets '!G25)/('Portfolio equity assets '!G25+('Market Cap'!G25/1000000)-'Portfolio equity liabilities '!G25)</f>
        <v>0.77148032419600443</v>
      </c>
      <c r="H25">
        <f>1-('Portfolio equity assets '!H25)/('Portfolio equity assets '!H25+('Market Cap'!H25/1000000)-'Portfolio equity liabilities '!H25)</f>
        <v>0.72841550266032762</v>
      </c>
      <c r="I25">
        <f>1-('Portfolio equity assets '!I25)/('Portfolio equity assets '!I25+('Market Cap'!I25/1000000)-'Portfolio equity liabilities '!I25)</f>
        <v>0.69630017815860645</v>
      </c>
      <c r="J25">
        <f>1-('Portfolio equity assets '!J25)/('Portfolio equity assets '!J25+('Market Cap'!J25/1000000)-'Portfolio equity liabilities '!J25)</f>
        <v>0.67765961017919163</v>
      </c>
      <c r="K25">
        <f>1-('Portfolio equity assets '!K25)/('Portfolio equity assets '!K25+('Market Cap'!K25/1000000)-'Portfolio equity liabilities '!K25)</f>
        <v>0.64978765304787567</v>
      </c>
      <c r="L25">
        <f>1-('Portfolio equity assets '!L25)/('Portfolio equity assets '!L25+('Market Cap'!L25/1000000)-'Portfolio equity liabilities '!L25)</f>
        <v>0.64415319246451097</v>
      </c>
    </row>
    <row r="26" spans="1:12" x14ac:dyDescent="0.3">
      <c r="A26" s="4" t="s">
        <v>25</v>
      </c>
      <c r="B26">
        <f>1-('Portfolio equity assets '!B26)/('Portfolio equity assets '!B26+('Market Cap'!B26/1000000)-'Portfolio equity liabilities '!B26)</f>
        <v>0.89751099444275362</v>
      </c>
      <c r="C26">
        <f>1-('Portfolio equity assets '!C26)/('Portfolio equity assets '!C26+('Market Cap'!C26/1000000)-'Portfolio equity liabilities '!C26)</f>
        <v>0.88165499651168888</v>
      </c>
      <c r="D26">
        <f>1-('Portfolio equity assets '!D26)/('Portfolio equity assets '!D26+('Market Cap'!D26/1000000)-'Portfolio equity liabilities '!D26)</f>
        <v>0.8886257586574714</v>
      </c>
      <c r="E26">
        <f>1-('Portfolio equity assets '!E26)/('Portfolio equity assets '!E26+('Market Cap'!E26/1000000)-'Portfolio equity liabilities '!E26)</f>
        <v>0.88590207651904229</v>
      </c>
      <c r="F26">
        <f>1-('Portfolio equity assets '!F26)/('Portfolio equity assets '!F26+('Market Cap'!F26/1000000)-'Portfolio equity liabilities '!F26)</f>
        <v>0.89555334191826419</v>
      </c>
      <c r="G26">
        <f>1-('Portfolio equity assets '!G26)/('Portfolio equity assets '!G26+('Market Cap'!G26/1000000)-'Portfolio equity liabilities '!G26)</f>
        <v>0.89214801440743641</v>
      </c>
      <c r="H26">
        <f>1-('Portfolio equity assets '!H26)/('Portfolio equity assets '!H26+('Market Cap'!H26/1000000)-'Portfolio equity liabilities '!H26)</f>
        <v>0.88232330018812144</v>
      </c>
      <c r="I26">
        <f>1-('Portfolio equity assets '!I26)/('Portfolio equity assets '!I26+('Market Cap'!I26/1000000)-'Portfolio equity liabilities '!I26)</f>
        <v>0.87900734990179363</v>
      </c>
      <c r="J26">
        <f>1-('Portfolio equity assets '!J26)/('Portfolio equity assets '!J26+('Market Cap'!J26/1000000)-'Portfolio equity liabilities '!J26)</f>
        <v>0.88393533826334247</v>
      </c>
      <c r="K26">
        <f>1-('Portfolio equity assets '!K26)/('Portfolio equity assets '!K26+('Market Cap'!K26/1000000)-'Portfolio equity liabilities '!K26)</f>
        <v>0.8766213830649211</v>
      </c>
      <c r="L26">
        <f>1-('Portfolio equity assets '!L26)/('Portfolio equity assets '!L26+('Market Cap'!L26/1000000)-'Portfolio equity liabilities '!L26)</f>
        <v>0.85665266897615155</v>
      </c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A3C0-109E-4FFA-9D0A-1A69B0C0DA2D}">
  <dimension ref="A1:L26"/>
  <sheetViews>
    <sheetView tabSelected="1" workbookViewId="0">
      <selection activeCell="E2" sqref="E2"/>
    </sheetView>
  </sheetViews>
  <sheetFormatPr defaultRowHeight="14.4" x14ac:dyDescent="0.3"/>
  <cols>
    <col min="1" max="1" width="13.5546875" bestFit="1" customWidth="1"/>
  </cols>
  <sheetData>
    <row r="1" spans="1:12" ht="14.4" customHeight="1" x14ac:dyDescent="0.3">
      <c r="A1" s="2" t="s">
        <v>0</v>
      </c>
      <c r="B1" s="7"/>
      <c r="C1" s="7"/>
      <c r="D1" s="7"/>
      <c r="E1" s="7" t="s">
        <v>33</v>
      </c>
      <c r="F1" s="7"/>
      <c r="G1" s="7"/>
      <c r="H1" s="7"/>
      <c r="I1" s="7"/>
      <c r="J1" s="7"/>
      <c r="K1" s="7"/>
      <c r="L1" s="7"/>
    </row>
    <row r="2" spans="1:12" ht="20.399999999999999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</row>
    <row r="3" spans="1:12" x14ac:dyDescent="0.3">
      <c r="A3" s="4" t="s">
        <v>2</v>
      </c>
      <c r="B3">
        <f>1-('Portfolio debt assets '!B3)/(('Portfolio debt assets '!B3+('Domestic debt'!B3*1000)))</f>
        <v>0.84677141934766853</v>
      </c>
      <c r="C3">
        <f>1-('Portfolio debt assets '!C3)/(('Portfolio debt assets '!C3+('Domestic debt'!C3*1000)))</f>
        <v>0.88904628597323021</v>
      </c>
      <c r="D3">
        <f>1-('Portfolio debt assets '!D3)/(('Portfolio debt assets '!D3+('Domestic debt'!D3*1000)))</f>
        <v>0.86869897452224287</v>
      </c>
      <c r="E3">
        <f>1-('Portfolio debt assets '!E3)/(('Portfolio debt assets '!E3+('Domestic debt'!E3*1000)))</f>
        <v>0.85607605765418882</v>
      </c>
      <c r="F3">
        <f>1-('Portfolio debt assets '!F3)/(('Portfolio debt assets '!F3+('Domestic debt'!F3*1000)))</f>
        <v>0.82038383575676099</v>
      </c>
      <c r="G3">
        <f>1-('Portfolio debt assets '!G3)/(('Portfolio debt assets '!G3+('Domestic debt'!G3*1000)))</f>
        <v>0.8145117896843268</v>
      </c>
      <c r="H3">
        <f>1-('Portfolio debt assets '!H3)/(('Portfolio debt assets '!H3+('Domestic debt'!H3*1000)))</f>
        <v>0.81868658418958073</v>
      </c>
      <c r="I3">
        <f>1-('Portfolio debt assets '!I3)/(('Portfolio debt assets '!I3+('Domestic debt'!I3*1000)))</f>
        <v>0.78716094545168014</v>
      </c>
      <c r="J3">
        <f>1-('Portfolio debt assets '!J3)/(('Portfolio debt assets '!J3+('Domestic debt'!J3*1000)))</f>
        <v>0.7824336552369493</v>
      </c>
      <c r="K3">
        <f>1-('Portfolio debt assets '!K3)/(('Portfolio debt assets '!K3+('Domestic debt'!K3*1000)))</f>
        <v>0.77500815305387261</v>
      </c>
      <c r="L3">
        <f>1-('Portfolio debt assets '!L3)/(('Portfolio debt assets '!L3+('Domestic debt'!L3*1000)))</f>
        <v>0.78289468324040645</v>
      </c>
    </row>
    <row r="4" spans="1:12" x14ac:dyDescent="0.3">
      <c r="A4" s="4" t="s">
        <v>3</v>
      </c>
      <c r="B4">
        <f>1-('Portfolio debt assets '!B4)/(('Portfolio debt assets '!B4+('Domestic debt'!B4*1000)))</f>
        <v>0.52761025369719694</v>
      </c>
      <c r="C4">
        <f>1-('Portfolio debt assets '!C4)/(('Portfolio debt assets '!C4+('Domestic debt'!C4*1000)))</f>
        <v>0.54750469847260086</v>
      </c>
      <c r="D4">
        <f>1-('Portfolio debt assets '!D4)/(('Portfolio debt assets '!D4+('Domestic debt'!D4*1000)))</f>
        <v>0.54811168368708008</v>
      </c>
      <c r="E4">
        <f>1-('Portfolio debt assets '!E4)/(('Portfolio debt assets '!E4+('Domestic debt'!E4*1000)))</f>
        <v>0.54384118410672755</v>
      </c>
      <c r="F4">
        <f>1-('Portfolio debt assets '!F4)/(('Portfolio debt assets '!F4+('Domestic debt'!F4*1000)))</f>
        <v>0.52965784126507609</v>
      </c>
      <c r="G4">
        <f>1-('Portfolio debt assets '!G4)/(('Portfolio debt assets '!G4+('Domestic debt'!G4*1000)))</f>
        <v>0.5176936444526189</v>
      </c>
      <c r="H4">
        <f>1-('Portfolio debt assets '!H4)/(('Portfolio debt assets '!H4+('Domestic debt'!H4*1000)))</f>
        <v>0.4734747307587247</v>
      </c>
      <c r="I4">
        <f>1-('Portfolio debt assets '!I4)/(('Portfolio debt assets '!I4+('Domestic debt'!I4*1000)))</f>
        <v>0.44531853897585827</v>
      </c>
      <c r="J4">
        <f>1-('Portfolio debt assets '!J4)/(('Portfolio debt assets '!J4+('Domestic debt'!J4*1000)))</f>
        <v>0.4163627488281666</v>
      </c>
      <c r="K4">
        <f>1-('Portfolio debt assets '!K4)/(('Portfolio debt assets '!K4+('Domestic debt'!K4*1000)))</f>
        <v>0.40351094142728694</v>
      </c>
      <c r="L4">
        <f>1-('Portfolio debt assets '!L4)/(('Portfolio debt assets '!L4+('Domestic debt'!L4*1000)))</f>
        <v>0.38322820018362769</v>
      </c>
    </row>
    <row r="5" spans="1:12" x14ac:dyDescent="0.3">
      <c r="A5" s="4" t="s">
        <v>4</v>
      </c>
      <c r="B5">
        <f>1-('Portfolio debt assets '!B5)/(('Portfolio debt assets '!B5+('Domestic debt'!B5*1000)))</f>
        <v>0.48887332474296918</v>
      </c>
      <c r="C5">
        <f>1-('Portfolio debt assets '!C5)/(('Portfolio debt assets '!C5+('Domestic debt'!C5*1000)))</f>
        <v>0.50257450835837769</v>
      </c>
      <c r="D5">
        <f>1-('Portfolio debt assets '!D5)/(('Portfolio debt assets '!D5+('Domestic debt'!D5*1000)))</f>
        <v>0.50118955456282777</v>
      </c>
      <c r="E5">
        <f>1-('Portfolio debt assets '!E5)/(('Portfolio debt assets '!E5+('Domestic debt'!E5*1000)))</f>
        <v>0.49739693024931009</v>
      </c>
      <c r="F5">
        <f>1-('Portfolio debt assets '!F5)/(('Portfolio debt assets '!F5+('Domestic debt'!F5*1000)))</f>
        <v>0.46793342506684943</v>
      </c>
      <c r="G5">
        <f>1-('Portfolio debt assets '!G5)/(('Portfolio debt assets '!G5+('Domestic debt'!G5*1000)))</f>
        <v>0.46765163443124624</v>
      </c>
      <c r="H5">
        <f>1-('Portfolio debt assets '!H5)/(('Portfolio debt assets '!H5+('Domestic debt'!H5*1000)))</f>
        <v>0.41565536826531979</v>
      </c>
      <c r="I5">
        <f>1-('Portfolio debt assets '!I5)/(('Portfolio debt assets '!I5+('Domestic debt'!I5*1000)))</f>
        <v>0.41520566313972185</v>
      </c>
      <c r="J5">
        <f>1-('Portfolio debt assets '!J5)/(('Portfolio debt assets '!J5+('Domestic debt'!J5*1000)))</f>
        <v>0.38153919232055566</v>
      </c>
      <c r="K5">
        <f>1-('Portfolio debt assets '!K5)/(('Portfolio debt assets '!K5+('Domestic debt'!K5*1000)))</f>
        <v>0.36676086692903387</v>
      </c>
      <c r="L5">
        <f>1-('Portfolio debt assets '!L5)/(('Portfolio debt assets '!L5+('Domestic debt'!L5*1000)))</f>
        <v>0.33062987464085614</v>
      </c>
    </row>
    <row r="6" spans="1:12" x14ac:dyDescent="0.3">
      <c r="A6" s="4" t="s">
        <v>5</v>
      </c>
      <c r="B6">
        <f>1-('Portfolio debt assets '!B6)/(('Portfolio debt assets '!B6+('Domestic debt'!B6*1000)))</f>
        <v>0.84339570053325796</v>
      </c>
      <c r="C6">
        <f>1-('Portfolio debt assets '!C6)/(('Portfolio debt assets '!C6+('Domestic debt'!C6*1000)))</f>
        <v>0.81935984468915946</v>
      </c>
      <c r="D6">
        <f>1-('Portfolio debt assets '!D6)/(('Portfolio debt assets '!D6+('Domestic debt'!D6*1000)))</f>
        <v>0.80942378650091307</v>
      </c>
      <c r="E6">
        <f>1-('Portfolio debt assets '!E6)/(('Portfolio debt assets '!E6+('Domestic debt'!E6*1000)))</f>
        <v>0.79597358200497914</v>
      </c>
      <c r="F6">
        <f>1-('Portfolio debt assets '!F6)/(('Portfolio debt assets '!F6+('Domestic debt'!F6*1000)))</f>
        <v>0.78735179211293294</v>
      </c>
      <c r="G6">
        <f>1-('Portfolio debt assets '!G6)/(('Portfolio debt assets '!G6+('Domestic debt'!G6*1000)))</f>
        <v>0.78384481239751425</v>
      </c>
      <c r="H6">
        <f>1-('Portfolio debt assets '!H6)/(('Portfolio debt assets '!H6+('Domestic debt'!H6*1000)))</f>
        <v>0.81432158018410372</v>
      </c>
      <c r="I6">
        <f>1-('Portfolio debt assets '!I6)/(('Portfolio debt assets '!I6+('Domestic debt'!I6*1000)))</f>
        <v>0.81130725398137793</v>
      </c>
      <c r="J6">
        <f>1-('Portfolio debt assets '!J6)/(('Portfolio debt assets '!J6+('Domestic debt'!J6*1000)))</f>
        <v>0.79941062902430238</v>
      </c>
      <c r="K6">
        <f>1-('Portfolio debt assets '!K6)/(('Portfolio debt assets '!K6+('Domestic debt'!K6*1000)))</f>
        <v>0.79816315778661817</v>
      </c>
      <c r="L6">
        <f>1-('Portfolio debt assets '!L6)/(('Portfolio debt assets '!L6+('Domestic debt'!L6*1000)))</f>
        <v>0.80753766658011039</v>
      </c>
    </row>
    <row r="7" spans="1:12" x14ac:dyDescent="0.3">
      <c r="A7" s="4" t="s">
        <v>6</v>
      </c>
      <c r="B7">
        <f>1-('Portfolio debt assets '!B7)/(('Portfolio debt assets '!B7+('Domestic debt'!B7*1000)))</f>
        <v>0.74807794602997824</v>
      </c>
      <c r="C7">
        <f>1-('Portfolio debt assets '!C7)/(('Portfolio debt assets '!C7+('Domestic debt'!C7*1000)))</f>
        <v>0.77939626546540641</v>
      </c>
      <c r="D7">
        <f>1-('Portfolio debt assets '!D7)/(('Portfolio debt assets '!D7+('Domestic debt'!D7*1000)))</f>
        <v>0.79208074274705476</v>
      </c>
      <c r="E7">
        <f>1-('Portfolio debt assets '!E7)/(('Portfolio debt assets '!E7+('Domestic debt'!E7*1000)))</f>
        <v>0.76214197340011691</v>
      </c>
      <c r="F7">
        <f>1-('Portfolio debt assets '!F7)/(('Portfolio debt assets '!F7+('Domestic debt'!F7*1000)))</f>
        <v>0.74564461726218512</v>
      </c>
      <c r="G7">
        <f>1-('Portfolio debt assets '!G7)/(('Portfolio debt assets '!G7+('Domestic debt'!G7*1000)))</f>
        <v>0.7357945945490787</v>
      </c>
      <c r="H7">
        <f>1-('Portfolio debt assets '!H7)/(('Portfolio debt assets '!H7+('Domestic debt'!H7*1000)))</f>
        <v>0.73744812582961106</v>
      </c>
      <c r="I7">
        <f>1-('Portfolio debt assets '!I7)/(('Portfolio debt assets '!I7+('Domestic debt'!I7*1000)))</f>
        <v>0.71873607530970207</v>
      </c>
      <c r="J7">
        <f>1-('Portfolio debt assets '!J7)/(('Portfolio debt assets '!J7+('Domestic debt'!J7*1000)))</f>
        <v>0.72855652445844754</v>
      </c>
      <c r="K7">
        <f>1-('Portfolio debt assets '!K7)/(('Portfolio debt assets '!K7+('Domestic debt'!K7*1000)))</f>
        <v>0.7287116765581827</v>
      </c>
      <c r="L7">
        <f>1-('Portfolio debt assets '!L7)/(('Portfolio debt assets '!L7+('Domestic debt'!L7*1000)))</f>
        <v>0.70725059201156726</v>
      </c>
    </row>
    <row r="8" spans="1:12" x14ac:dyDescent="0.3">
      <c r="A8" s="4" t="s">
        <v>7</v>
      </c>
      <c r="B8">
        <f>1-('Portfolio debt assets '!B8)/(('Portfolio debt assets '!B8+('Domestic debt'!B8*1000)))</f>
        <v>0.70676896846240744</v>
      </c>
      <c r="C8">
        <f>1-('Portfolio debt assets '!C8)/(('Portfolio debt assets '!C8+('Domestic debt'!C8*1000)))</f>
        <v>0.7202402935981963</v>
      </c>
      <c r="D8">
        <f>1-('Portfolio debt assets '!D8)/(('Portfolio debt assets '!D8+('Domestic debt'!D8*1000)))</f>
        <v>0.7114259095455725</v>
      </c>
      <c r="E8">
        <f>1-('Portfolio debt assets '!E8)/(('Portfolio debt assets '!E8+('Domestic debt'!E8*1000)))</f>
        <v>0.66918800788153576</v>
      </c>
      <c r="F8">
        <f>1-('Portfolio debt assets '!F8)/(('Portfolio debt assets '!F8+('Domestic debt'!F8*1000)))</f>
        <v>0.66740105730440447</v>
      </c>
      <c r="G8">
        <f>1-('Portfolio debt assets '!G8)/(('Portfolio debt assets '!G8+('Domestic debt'!G8*1000)))</f>
        <v>0.6792342462377372</v>
      </c>
      <c r="H8">
        <f>1-('Portfolio debt assets '!H8)/(('Portfolio debt assets '!H8+('Domestic debt'!H8*1000)))</f>
        <v>0.59583787358327178</v>
      </c>
      <c r="I8">
        <f>1-('Portfolio debt assets '!I8)/(('Portfolio debt assets '!I8+('Domestic debt'!I8*1000)))</f>
        <v>0.49173143350162163</v>
      </c>
      <c r="J8">
        <f>1-('Portfolio debt assets '!J8)/(('Portfolio debt assets '!J8+('Domestic debt'!J8*1000)))</f>
        <v>0.41721769684339116</v>
      </c>
      <c r="K8">
        <f>1-('Portfolio debt assets '!K8)/(('Portfolio debt assets '!K8+('Domestic debt'!K8*1000)))</f>
        <v>0.38781362622673743</v>
      </c>
      <c r="L8">
        <f>1-('Portfolio debt assets '!L8)/(('Portfolio debt assets '!L8+('Domestic debt'!L8*1000)))</f>
        <v>0.33172349503004428</v>
      </c>
    </row>
    <row r="9" spans="1:12" x14ac:dyDescent="0.3">
      <c r="A9" s="4" t="s">
        <v>8</v>
      </c>
      <c r="B9">
        <f>1-('Portfolio debt assets '!B9)/(('Portfolio debt assets '!B9+('Domestic debt'!B9*1000)))</f>
        <v>0.60767543722707917</v>
      </c>
      <c r="C9">
        <f>1-('Portfolio debt assets '!C9)/(('Portfolio debt assets '!C9+('Domestic debt'!C9*1000)))</f>
        <v>0.60072746561761448</v>
      </c>
      <c r="D9">
        <f>1-('Portfolio debt assets '!D9)/(('Portfolio debt assets '!D9+('Domestic debt'!D9*1000)))</f>
        <v>0.59613340984126395</v>
      </c>
      <c r="E9">
        <f>1-('Portfolio debt assets '!E9)/(('Portfolio debt assets '!E9+('Domestic debt'!E9*1000)))</f>
        <v>0.60179654948636729</v>
      </c>
      <c r="F9">
        <f>1-('Portfolio debt assets '!F9)/(('Portfolio debt assets '!F9+('Domestic debt'!F9*1000)))</f>
        <v>0.55627139368177592</v>
      </c>
      <c r="G9">
        <f>1-('Portfolio debt assets '!G9)/(('Portfolio debt assets '!G9+('Domestic debt'!G9*1000)))</f>
        <v>0.54871122913127302</v>
      </c>
      <c r="H9">
        <f>1-('Portfolio debt assets '!H9)/(('Portfolio debt assets '!H9+('Domestic debt'!H9*1000)))</f>
        <v>0.5148325490988066</v>
      </c>
      <c r="I9">
        <f>1-('Portfolio debt assets '!I9)/(('Portfolio debt assets '!I9+('Domestic debt'!I9*1000)))</f>
        <v>0.49878964859919839</v>
      </c>
      <c r="J9">
        <f>1-('Portfolio debt assets '!J9)/(('Portfolio debt assets '!J9+('Domestic debt'!J9*1000)))</f>
        <v>0.47162285338819732</v>
      </c>
      <c r="K9">
        <f>1-('Portfolio debt assets '!K9)/(('Portfolio debt assets '!K9+('Domestic debt'!K9*1000)))</f>
        <v>0.47242347018829878</v>
      </c>
      <c r="L9">
        <f>1-('Portfolio debt assets '!L9)/(('Portfolio debt assets '!L9+('Domestic debt'!L9*1000)))</f>
        <v>0.4802640204276879</v>
      </c>
    </row>
    <row r="10" spans="1:12" x14ac:dyDescent="0.3">
      <c r="A10" s="4" t="s">
        <v>9</v>
      </c>
      <c r="B10">
        <f>1-('Portfolio debt assets '!B10)/(('Portfolio debt assets '!B10+('Domestic debt'!B10*1000)))</f>
        <v>0.59430409412979213</v>
      </c>
      <c r="C10">
        <f>1-('Portfolio debt assets '!C10)/(('Portfolio debt assets '!C10+('Domestic debt'!C10*1000)))</f>
        <v>0.6210116675291264</v>
      </c>
      <c r="D10">
        <f>1-('Portfolio debt assets '!D10)/(('Portfolio debt assets '!D10+('Domestic debt'!D10*1000)))</f>
        <v>0.61983766203730206</v>
      </c>
      <c r="E10">
        <f>1-('Portfolio debt assets '!E10)/(('Portfolio debt assets '!E10+('Domestic debt'!E10*1000)))</f>
        <v>0.61435678579006969</v>
      </c>
      <c r="F10">
        <f>1-('Portfolio debt assets '!F10)/(('Portfolio debt assets '!F10+('Domestic debt'!F10*1000)))</f>
        <v>0.60439396575613769</v>
      </c>
      <c r="G10">
        <f>1-('Portfolio debt assets '!G10)/(('Portfolio debt assets '!G10+('Domestic debt'!G10*1000)))</f>
        <v>0.59084029533249971</v>
      </c>
      <c r="H10">
        <f>1-('Portfolio debt assets '!H10)/(('Portfolio debt assets '!H10+('Domestic debt'!H10*1000)))</f>
        <v>0.55440779876570678</v>
      </c>
      <c r="I10">
        <f>1-('Portfolio debt assets '!I10)/(('Portfolio debt assets '!I10+('Domestic debt'!I10*1000)))</f>
        <v>0.53154689435291291</v>
      </c>
      <c r="J10">
        <f>1-('Portfolio debt assets '!J10)/(('Portfolio debt assets '!J10+('Domestic debt'!J10*1000)))</f>
        <v>0.477453092709066</v>
      </c>
      <c r="K10">
        <f>1-('Portfolio debt assets '!K10)/(('Portfolio debt assets '!K10+('Domestic debt'!K10*1000)))</f>
        <v>0.45680116905368784</v>
      </c>
      <c r="L10">
        <f>1-('Portfolio debt assets '!L10)/(('Portfolio debt assets '!L10+('Domestic debt'!L10*1000)))</f>
        <v>0.43945640212344317</v>
      </c>
    </row>
    <row r="11" spans="1:12" x14ac:dyDescent="0.3">
      <c r="A11" s="4" t="s">
        <v>10</v>
      </c>
      <c r="B11">
        <f>1-('Portfolio debt assets '!B11)/(('Portfolio debt assets '!B11+('Domestic debt'!B11*1000)))</f>
        <v>0.76131601385169823</v>
      </c>
      <c r="C11">
        <f>1-('Portfolio debt assets '!C11)/(('Portfolio debt assets '!C11+('Domestic debt'!C11*1000)))</f>
        <v>0.73633807679613739</v>
      </c>
      <c r="D11">
        <f>1-('Portfolio debt assets '!D11)/(('Portfolio debt assets '!D11+('Domestic debt'!D11*1000)))</f>
        <v>0.72169652450275579</v>
      </c>
      <c r="E11">
        <f>1-('Portfolio debt assets '!E11)/(('Portfolio debt assets '!E11+('Domestic debt'!E11*1000)))</f>
        <v>0.70952256672527925</v>
      </c>
      <c r="F11">
        <f>1-('Portfolio debt assets '!F11)/(('Portfolio debt assets '!F11+('Domestic debt'!F11*1000)))</f>
        <v>0.70072275687112273</v>
      </c>
      <c r="G11">
        <f>1-('Portfolio debt assets '!G11)/(('Portfolio debt assets '!G11+('Domestic debt'!G11*1000)))</f>
        <v>0.70496449920017956</v>
      </c>
      <c r="H11">
        <f>1-('Portfolio debt assets '!H11)/(('Portfolio debt assets '!H11+('Domestic debt'!H11*1000)))</f>
        <v>0.67118902678069481</v>
      </c>
      <c r="I11">
        <f>1-('Portfolio debt assets '!I11)/(('Portfolio debt assets '!I11+('Domestic debt'!I11*1000)))</f>
        <v>0.69743224728645736</v>
      </c>
      <c r="J11">
        <f>1-('Portfolio debt assets '!J11)/(('Portfolio debt assets '!J11+('Domestic debt'!J11*1000)))</f>
        <v>0.65921423055849804</v>
      </c>
      <c r="K11">
        <f>1-('Portfolio debt assets '!K11)/(('Portfolio debt assets '!K11+('Domestic debt'!K11*1000)))</f>
        <v>0.62063382004936485</v>
      </c>
      <c r="L11">
        <f>1-('Portfolio debt assets '!L11)/(('Portfolio debt assets '!L11+('Domestic debt'!L11*1000)))</f>
        <v>0.58984634664166802</v>
      </c>
    </row>
    <row r="12" spans="1:12" x14ac:dyDescent="0.3">
      <c r="A12" s="4" t="s">
        <v>11</v>
      </c>
      <c r="B12">
        <f>1-('Portfolio debt assets '!B12)/(('Portfolio debt assets '!B12+('Domestic debt'!B12*1000)))</f>
        <v>0.91590983143549465</v>
      </c>
      <c r="C12">
        <f>1-('Portfolio debt assets '!C12)/(('Portfolio debt assets '!C12+('Domestic debt'!C12*1000)))</f>
        <v>0.90520505654519468</v>
      </c>
      <c r="D12">
        <f>1-('Portfolio debt assets '!D12)/(('Portfolio debt assets '!D12+('Domestic debt'!D12*1000)))</f>
        <v>0.92338241004499211</v>
      </c>
      <c r="E12">
        <f>1-('Portfolio debt assets '!E12)/(('Portfolio debt assets '!E12+('Domestic debt'!E12*1000)))</f>
        <v>0.92365018866785653</v>
      </c>
      <c r="F12">
        <f>1-('Portfolio debt assets '!F12)/(('Portfolio debt assets '!F12+('Domestic debt'!F12*1000)))</f>
        <v>0.91563286684304113</v>
      </c>
      <c r="G12">
        <f>1-('Portfolio debt assets '!G12)/(('Portfolio debt assets '!G12+('Domestic debt'!G12*1000)))</f>
        <v>0.91369231717454191</v>
      </c>
      <c r="H12">
        <f>1-('Portfolio debt assets '!H12)/(('Portfolio debt assets '!H12+('Domestic debt'!H12*1000)))</f>
        <v>0.89855025041831227</v>
      </c>
      <c r="I12">
        <f>1-('Portfolio debt assets '!I12)/(('Portfolio debt assets '!I12+('Domestic debt'!I12*1000)))</f>
        <v>0.91723249647482508</v>
      </c>
      <c r="J12">
        <f>1-('Portfolio debt assets '!J12)/(('Portfolio debt assets '!J12+('Domestic debt'!J12*1000)))</f>
        <v>0.86921049470351985</v>
      </c>
      <c r="K12">
        <f>1-('Portfolio debt assets '!K12)/(('Portfolio debt assets '!K12+('Domestic debt'!K12*1000)))</f>
        <v>0.84643907132184615</v>
      </c>
      <c r="L12">
        <f>1-('Portfolio debt assets '!L12)/(('Portfolio debt assets '!L12+('Domestic debt'!L12*1000)))</f>
        <v>0.79099643203864056</v>
      </c>
    </row>
    <row r="13" spans="1:12" x14ac:dyDescent="0.3">
      <c r="A13" s="4" t="s">
        <v>12</v>
      </c>
      <c r="B13">
        <f>1-('Portfolio debt assets '!B13)/(('Portfolio debt assets '!B13+('Domestic debt'!B13*1000)))</f>
        <v>0.3651202088342681</v>
      </c>
      <c r="C13">
        <f>1-('Portfolio debt assets '!C13)/(('Portfolio debt assets '!C13+('Domestic debt'!C13*1000)))</f>
        <v>0.31753140301684213</v>
      </c>
      <c r="D13">
        <f>1-('Portfolio debt assets '!D13)/(('Portfolio debt assets '!D13+('Domestic debt'!D13*1000)))</f>
        <v>0.25321903909098031</v>
      </c>
      <c r="E13">
        <f>1-('Portfolio debt assets '!E13)/(('Portfolio debt assets '!E13+('Domestic debt'!E13*1000)))</f>
        <v>0.19717454263695822</v>
      </c>
      <c r="F13">
        <f>1-('Portfolio debt assets '!F13)/(('Portfolio debt assets '!F13+('Domestic debt'!F13*1000)))</f>
        <v>0.13023076014118351</v>
      </c>
      <c r="G13">
        <f>1-('Portfolio debt assets '!G13)/(('Portfolio debt assets '!G13+('Domestic debt'!G13*1000)))</f>
        <v>8.4585142717548356E-2</v>
      </c>
      <c r="H13">
        <f>1-('Portfolio debt assets '!H13)/(('Portfolio debt assets '!H13+('Domestic debt'!H13*1000)))</f>
        <v>6.9728882949116722E-2</v>
      </c>
      <c r="I13">
        <f>1-('Portfolio debt assets '!I13)/(('Portfolio debt assets '!I13+('Domestic debt'!I13*1000)))</f>
        <v>6.2016565165744719E-2</v>
      </c>
      <c r="J13">
        <f>1-('Portfolio debt assets '!J13)/(('Portfolio debt assets '!J13+('Domestic debt'!J13*1000)))</f>
        <v>4.8279733578244444E-2</v>
      </c>
      <c r="K13">
        <f>1-('Portfolio debt assets '!K13)/(('Portfolio debt assets '!K13+('Domestic debt'!K13*1000)))</f>
        <v>4.8264189248370171E-2</v>
      </c>
      <c r="L13">
        <f>1-('Portfolio debt assets '!L13)/(('Portfolio debt assets '!L13+('Domestic debt'!L13*1000)))</f>
        <v>9.9809676024380956E-2</v>
      </c>
    </row>
    <row r="14" spans="1:12" x14ac:dyDescent="0.3">
      <c r="A14" s="4" t="s">
        <v>13</v>
      </c>
      <c r="B14">
        <f>1-('Portfolio debt assets '!B14)/(('Portfolio debt assets '!B14+('Domestic debt'!B14*1000)))</f>
        <v>0.7949905619075599</v>
      </c>
      <c r="C14">
        <f>1-('Portfolio debt assets '!C14)/(('Portfolio debt assets '!C14+('Domestic debt'!C14*1000)))</f>
        <v>0.79831419088532662</v>
      </c>
      <c r="D14">
        <f>1-('Portfolio debt assets '!D14)/(('Portfolio debt assets '!D14+('Domestic debt'!D14*1000)))</f>
        <v>0.7862088387012478</v>
      </c>
      <c r="E14">
        <f>1-('Portfolio debt assets '!E14)/(('Portfolio debt assets '!E14+('Domestic debt'!E14*1000)))</f>
        <v>0.76223225738913936</v>
      </c>
      <c r="F14">
        <f>1-('Portfolio debt assets '!F14)/(('Portfolio debt assets '!F14+('Domestic debt'!F14*1000)))</f>
        <v>0.72349334012070832</v>
      </c>
      <c r="G14">
        <f>1-('Portfolio debt assets '!G14)/(('Portfolio debt assets '!G14+('Domestic debt'!G14*1000)))</f>
        <v>0.68391498711231424</v>
      </c>
      <c r="H14">
        <f>1-('Portfolio debt assets '!H14)/(('Portfolio debt assets '!H14+('Domestic debt'!H14*1000)))</f>
        <v>0.69089242880491297</v>
      </c>
      <c r="I14">
        <f>1-('Portfolio debt assets '!I14)/(('Portfolio debt assets '!I14+('Domestic debt'!I14*1000)))</f>
        <v>0.68015745001234329</v>
      </c>
      <c r="J14">
        <f>1-('Portfolio debt assets '!J14)/(('Portfolio debt assets '!J14+('Domestic debt'!J14*1000)))</f>
        <v>0.68234313940615865</v>
      </c>
      <c r="K14">
        <f>1-('Portfolio debt assets '!K14)/(('Portfolio debt assets '!K14+('Domestic debt'!K14*1000)))</f>
        <v>0.68948697994221608</v>
      </c>
      <c r="L14">
        <f>1-('Portfolio debt assets '!L14)/(('Portfolio debt assets '!L14+('Domestic debt'!L14*1000)))</f>
        <v>0.67951421697254344</v>
      </c>
    </row>
    <row r="15" spans="1:12" x14ac:dyDescent="0.3">
      <c r="A15" s="4" t="s">
        <v>14</v>
      </c>
      <c r="B15">
        <f>1-('Portfolio debt assets '!B15)/(('Portfolio debt assets '!B15+('Domestic debt'!B15*1000)))</f>
        <v>0.68739036908543116</v>
      </c>
      <c r="C15">
        <f>1-('Portfolio debt assets '!C15)/(('Portfolio debt assets '!C15+('Domestic debt'!C15*1000)))</f>
        <v>0.70188789392329232</v>
      </c>
      <c r="D15">
        <f>1-('Portfolio debt assets '!D15)/(('Portfolio debt assets '!D15+('Domestic debt'!D15*1000)))</f>
        <v>0.69291723847949604</v>
      </c>
      <c r="E15">
        <f>1-('Portfolio debt assets '!E15)/(('Portfolio debt assets '!E15+('Domestic debt'!E15*1000)))</f>
        <v>0.69338885815929507</v>
      </c>
      <c r="F15">
        <f>1-('Portfolio debt assets '!F15)/(('Portfolio debt assets '!F15+('Domestic debt'!F15*1000)))</f>
        <v>0.67354858023245678</v>
      </c>
      <c r="G15">
        <f>1-('Portfolio debt assets '!G15)/(('Portfolio debt assets '!G15+('Domestic debt'!G15*1000)))</f>
        <v>0.68682976968215703</v>
      </c>
      <c r="H15">
        <f>1-('Portfolio debt assets '!H15)/(('Portfolio debt assets '!H15+('Domestic debt'!H15*1000)))</f>
        <v>0.73683369018192546</v>
      </c>
      <c r="I15">
        <f>1-('Portfolio debt assets '!I15)/(('Portfolio debt assets '!I15+('Domestic debt'!I15*1000)))</f>
        <v>0.73416846379223277</v>
      </c>
      <c r="J15">
        <f>1-('Portfolio debt assets '!J15)/(('Portfolio debt assets '!J15+('Domestic debt'!J15*1000)))</f>
        <v>0.73744877734646419</v>
      </c>
      <c r="K15">
        <f>1-('Portfolio debt assets '!K15)/(('Portfolio debt assets '!K15+('Domestic debt'!K15*1000)))</f>
        <v>0.75516525938815238</v>
      </c>
      <c r="L15">
        <f>1-('Portfolio debt assets '!L15)/(('Portfolio debt assets '!L15+('Domestic debt'!L15*1000)))</f>
        <v>0.77177965889788402</v>
      </c>
    </row>
    <row r="16" spans="1:12" x14ac:dyDescent="0.3">
      <c r="A16" s="4" t="s">
        <v>15</v>
      </c>
      <c r="B16">
        <f>1-('Portfolio debt assets '!B16)/(('Portfolio debt assets '!B16+('Domestic debt'!B16*1000)))</f>
        <v>0.65544332210998879</v>
      </c>
      <c r="C16">
        <f>1-('Portfolio debt assets '!C16)/(('Portfolio debt assets '!C16+('Domestic debt'!C16*1000)))</f>
        <v>0.58392693476548052</v>
      </c>
      <c r="D16">
        <f>1-('Portfolio debt assets '!D16)/(('Portfolio debt assets '!D16+('Domestic debt'!D16*1000)))</f>
        <v>0.38665104957815555</v>
      </c>
      <c r="E16">
        <f>1-('Portfolio debt assets '!E16)/(('Portfolio debt assets '!E16+('Domestic debt'!E16*1000)))</f>
        <v>0.42392846788836835</v>
      </c>
      <c r="F16">
        <f>1-('Portfolio debt assets '!F16)/(('Portfolio debt assets '!F16+('Domestic debt'!F16*1000)))</f>
        <v>0.47988699206540031</v>
      </c>
      <c r="G16">
        <f>1-('Portfolio debt assets '!G16)/(('Portfolio debt assets '!G16+('Domestic debt'!G16*1000)))</f>
        <v>0.57547726634994056</v>
      </c>
      <c r="H16">
        <f>1-('Portfolio debt assets '!H16)/(('Portfolio debt assets '!H16+('Domestic debt'!H16*1000)))</f>
        <v>0.7136741616883312</v>
      </c>
      <c r="I16">
        <f>1-('Portfolio debt assets '!I16)/(('Portfolio debt assets '!I16+('Domestic debt'!I16*1000)))</f>
        <v>0.66761121008845115</v>
      </c>
      <c r="J16">
        <f>1-('Portfolio debt assets '!J16)/(('Portfolio debt assets '!J16+('Domestic debt'!J16*1000)))</f>
        <v>0.73042901495996548</v>
      </c>
      <c r="K16">
        <f>1-('Portfolio debt assets '!K16)/(('Portfolio debt assets '!K16+('Domestic debt'!K16*1000)))</f>
        <v>0.74518827332646587</v>
      </c>
      <c r="L16">
        <f>1-('Portfolio debt assets '!L16)/(('Portfolio debt assets '!L16+('Domestic debt'!L16*1000)))</f>
        <v>0.75506576179653351</v>
      </c>
    </row>
    <row r="17" spans="1:12" x14ac:dyDescent="0.3">
      <c r="A17" s="4" t="s">
        <v>16</v>
      </c>
      <c r="B17">
        <f>1-('Portfolio debt assets '!B17)/(('Portfolio debt assets '!B17+('Domestic debt'!B17*1000)))</f>
        <v>0.45136774484942632</v>
      </c>
      <c r="C17">
        <f>1-('Portfolio debt assets '!C17)/(('Portfolio debt assets '!C17+('Domestic debt'!C17*1000)))</f>
        <v>0.57770622065844401</v>
      </c>
      <c r="D17">
        <f>1-('Portfolio debt assets '!D17)/(('Portfolio debt assets '!D17+('Domestic debt'!D17*1000)))</f>
        <v>0.49148921050007743</v>
      </c>
      <c r="E17">
        <f>1-('Portfolio debt assets '!E17)/(('Portfolio debt assets '!E17+('Domestic debt'!E17*1000)))</f>
        <v>0.4752586838121079</v>
      </c>
      <c r="F17">
        <f>1-('Portfolio debt assets '!F17)/(('Portfolio debt assets '!F17+('Domestic debt'!F17*1000)))</f>
        <v>0.43742861245955655</v>
      </c>
      <c r="G17">
        <f>1-('Portfolio debt assets '!G17)/(('Portfolio debt assets '!G17+('Domestic debt'!G17*1000)))</f>
        <v>0.39532331604512438</v>
      </c>
      <c r="H17">
        <f>1-('Portfolio debt assets '!H17)/(('Portfolio debt assets '!H17+('Domestic debt'!H17*1000)))</f>
        <v>0.41138626938329659</v>
      </c>
      <c r="I17">
        <f>1-('Portfolio debt assets '!I17)/(('Portfolio debt assets '!I17+('Domestic debt'!I17*1000)))</f>
        <v>0.39946304945273492</v>
      </c>
      <c r="J17">
        <f>1-('Portfolio debt assets '!J17)/(('Portfolio debt assets '!J17+('Domestic debt'!J17*1000)))</f>
        <v>0.37366844698832213</v>
      </c>
      <c r="K17">
        <f>1-('Portfolio debt assets '!K17)/(('Portfolio debt assets '!K17+('Domestic debt'!K17*1000)))</f>
        <v>0.36309547575273304</v>
      </c>
      <c r="L17">
        <f>1-('Portfolio debt assets '!L17)/(('Portfolio debt assets '!L17+('Domestic debt'!L17*1000)))</f>
        <v>0.34262536062494964</v>
      </c>
    </row>
    <row r="18" spans="1:12" x14ac:dyDescent="0.3">
      <c r="A18" s="4" t="s">
        <v>17</v>
      </c>
      <c r="B18">
        <f>1-('Portfolio debt assets '!B18)/(('Portfolio debt assets '!B18+('Domestic debt'!B18*1000)))</f>
        <v>0.88173149311851018</v>
      </c>
      <c r="C18">
        <f>1-('Portfolio debt assets '!C18)/(('Portfolio debt assets '!C18+('Domestic debt'!C18*1000)))</f>
        <v>0.83510754214918337</v>
      </c>
      <c r="D18">
        <f>1-('Portfolio debt assets '!D18)/(('Portfolio debt assets '!D18+('Domestic debt'!D18*1000)))</f>
        <v>0.85330233312317072</v>
      </c>
      <c r="E18">
        <f>1-('Portfolio debt assets '!E18)/(('Portfolio debt assets '!E18+('Domestic debt'!E18*1000)))</f>
        <v>0.78783480094651226</v>
      </c>
      <c r="F18">
        <f>1-('Portfolio debt assets '!F18)/(('Portfolio debt assets '!F18+('Domestic debt'!F18*1000)))</f>
        <v>0.75117237211801458</v>
      </c>
      <c r="G18">
        <f>1-('Portfolio debt assets '!G18)/(('Portfolio debt assets '!G18+('Domestic debt'!G18*1000)))</f>
        <v>0.78749229844285695</v>
      </c>
      <c r="H18">
        <f>1-('Portfolio debt assets '!H18)/(('Portfolio debt assets '!H18+('Domestic debt'!H18*1000)))</f>
        <v>0.74310812141810989</v>
      </c>
      <c r="I18">
        <f>1-('Portfolio debt assets '!I18)/(('Portfolio debt assets '!I18+('Domestic debt'!I18*1000)))</f>
        <v>0.6155023303217585</v>
      </c>
      <c r="J18">
        <f>1-('Portfolio debt assets '!J18)/(('Portfolio debt assets '!J18+('Domestic debt'!J18*1000)))</f>
        <v>0.51524734343538658</v>
      </c>
      <c r="K18">
        <f>1-('Portfolio debt assets '!K18)/(('Portfolio debt assets '!K18+('Domestic debt'!K18*1000)))</f>
        <v>0.51570951880145754</v>
      </c>
      <c r="L18">
        <f>1-('Portfolio debt assets '!L18)/(('Portfolio debt assets '!L18+('Domestic debt'!L18*1000)))</f>
        <v>0.54355392678590952</v>
      </c>
    </row>
    <row r="19" spans="1:12" x14ac:dyDescent="0.3">
      <c r="A19" s="4" t="s">
        <v>18</v>
      </c>
      <c r="B19">
        <f>1-('Portfolio debt assets '!B19)/(('Portfolio debt assets '!B19+('Domestic debt'!B19*1000)))</f>
        <v>0.65381220766803971</v>
      </c>
      <c r="C19">
        <f>1-('Portfolio debt assets '!C19)/(('Portfolio debt assets '!C19+('Domestic debt'!C19*1000)))</f>
        <v>0.61464361753441099</v>
      </c>
      <c r="D19">
        <f>1-('Portfolio debt assets '!D19)/(('Portfolio debt assets '!D19+('Domestic debt'!D19*1000)))</f>
        <v>0.64641651951849866</v>
      </c>
      <c r="E19">
        <f>1-('Portfolio debt assets '!E19)/(('Portfolio debt assets '!E19+('Domestic debt'!E19*1000)))</f>
        <v>0.60462690093695193</v>
      </c>
      <c r="F19">
        <f>1-('Portfolio debt assets '!F19)/(('Portfolio debt assets '!F19+('Domestic debt'!F19*1000)))</f>
        <v>0.54203231705834576</v>
      </c>
      <c r="G19">
        <f>1-('Portfolio debt assets '!G19)/(('Portfolio debt assets '!G19+('Domestic debt'!G19*1000)))</f>
        <v>0.51095067999806132</v>
      </c>
      <c r="H19">
        <f>1-('Portfolio debt assets '!H19)/(('Portfolio debt assets '!H19+('Domestic debt'!H19*1000)))</f>
        <v>0.45134848361909141</v>
      </c>
      <c r="I19">
        <f>1-('Portfolio debt assets '!I19)/(('Portfolio debt assets '!I19+('Domestic debt'!I19*1000)))</f>
        <v>0.3698768292237905</v>
      </c>
      <c r="J19">
        <f>1-('Portfolio debt assets '!J19)/(('Portfolio debt assets '!J19+('Domestic debt'!J19*1000)))</f>
        <v>0.33662513629831237</v>
      </c>
      <c r="K19">
        <f>1-('Portfolio debt assets '!K19)/(('Portfolio debt assets '!K19+('Domestic debt'!K19*1000)))</f>
        <v>0.3339097214044322</v>
      </c>
      <c r="L19">
        <f>1-('Portfolio debt assets '!L19)/(('Portfolio debt assets '!L19+('Domestic debt'!L19*1000)))</f>
        <v>0.30884028939926189</v>
      </c>
    </row>
    <row r="20" spans="1:12" x14ac:dyDescent="0.3">
      <c r="A20" s="4" t="s">
        <v>19</v>
      </c>
      <c r="B20">
        <f>1-('Portfolio debt assets '!B20)/(('Portfolio debt assets '!B20+('Domestic debt'!B20*1000)))</f>
        <v>0.62570508810723058</v>
      </c>
      <c r="C20">
        <f>1-('Portfolio debt assets '!C20)/(('Portfolio debt assets '!C20+('Domestic debt'!C20*1000)))</f>
        <v>0.57621242139003526</v>
      </c>
      <c r="D20">
        <f>1-('Portfolio debt assets '!D20)/(('Portfolio debt assets '!D20+('Domestic debt'!D20*1000)))</f>
        <v>0.56478083520420108</v>
      </c>
      <c r="E20">
        <f>1-('Portfolio debt assets '!E20)/(('Portfolio debt assets '!E20+('Domestic debt'!E20*1000)))</f>
        <v>0.51142738699153034</v>
      </c>
      <c r="F20">
        <f>1-('Portfolio debt assets '!F20)/(('Portfolio debt assets '!F20+('Domestic debt'!F20*1000)))</f>
        <v>0.43079587991736368</v>
      </c>
      <c r="G20">
        <f>1-('Portfolio debt assets '!G20)/(('Portfolio debt assets '!G20+('Domestic debt'!G20*1000)))</f>
        <v>0.40882166971462286</v>
      </c>
      <c r="H20">
        <f>1-('Portfolio debt assets '!H20)/(('Portfolio debt assets '!H20+('Domestic debt'!H20*1000)))</f>
        <v>0.4017413460572905</v>
      </c>
      <c r="I20">
        <f>1-('Portfolio debt assets '!I20)/(('Portfolio debt assets '!I20+('Domestic debt'!I20*1000)))</f>
        <v>0.36812744613890724</v>
      </c>
      <c r="J20">
        <f>1-('Portfolio debt assets '!J20)/(('Portfolio debt assets '!J20+('Domestic debt'!J20*1000)))</f>
        <v>0.35318912696580818</v>
      </c>
      <c r="K20">
        <f>1-('Portfolio debt assets '!K20)/(('Portfolio debt assets '!K20+('Domestic debt'!K20*1000)))</f>
        <v>0.3501151470459376</v>
      </c>
      <c r="L20">
        <f>1-('Portfolio debt assets '!L20)/(('Portfolio debt assets '!L20+('Domestic debt'!L20*1000)))</f>
        <v>0.32597819337051681</v>
      </c>
    </row>
    <row r="21" spans="1:12" x14ac:dyDescent="0.3">
      <c r="A21" s="4" t="s">
        <v>20</v>
      </c>
      <c r="B21">
        <f>1-('Portfolio debt assets '!B21)/(('Portfolio debt assets '!B21+('Domestic debt'!B21*1000)))</f>
        <v>0.63312782739527251</v>
      </c>
      <c r="C21">
        <f>1-('Portfolio debt assets '!C21)/(('Portfolio debt assets '!C21+('Domestic debt'!C21*1000)))</f>
        <v>0.66726281424905876</v>
      </c>
      <c r="D21">
        <f>1-('Portfolio debt assets '!D21)/(('Portfolio debt assets '!D21+('Domestic debt'!D21*1000)))</f>
        <v>0.63723544238195928</v>
      </c>
      <c r="E21">
        <f>1-('Portfolio debt assets '!E21)/(('Portfolio debt assets '!E21+('Domestic debt'!E21*1000)))</f>
        <v>0.65745717485163557</v>
      </c>
      <c r="F21">
        <f>1-('Portfolio debt assets '!F21)/(('Portfolio debt assets '!F21+('Domestic debt'!F21*1000)))</f>
        <v>0.64472846114723559</v>
      </c>
      <c r="G21">
        <f>1-('Portfolio debt assets '!G21)/(('Portfolio debt assets '!G21+('Domestic debt'!G21*1000)))</f>
        <v>0.59379341974535738</v>
      </c>
      <c r="H21">
        <f>1-('Portfolio debt assets '!H21)/(('Portfolio debt assets '!H21+('Domestic debt'!H21*1000)))</f>
        <v>0.55573228800847185</v>
      </c>
      <c r="I21">
        <f>1-('Portfolio debt assets '!I21)/(('Portfolio debt assets '!I21+('Domestic debt'!I21*1000)))</f>
        <v>0.51951740417851655</v>
      </c>
      <c r="J21">
        <f>1-('Portfolio debt assets '!J21)/(('Portfolio debt assets '!J21+('Domestic debt'!J21*1000)))</f>
        <v>0.5037847950278318</v>
      </c>
      <c r="K21">
        <f>1-('Portfolio debt assets '!K21)/(('Portfolio debt assets '!K21+('Domestic debt'!K21*1000)))</f>
        <v>0.47292977567797023</v>
      </c>
      <c r="L21">
        <f>1-('Portfolio debt assets '!L21)/(('Portfolio debt assets '!L21+('Domestic debt'!L21*1000)))</f>
        <v>0.46718031508399627</v>
      </c>
    </row>
    <row r="22" spans="1:12" x14ac:dyDescent="0.3">
      <c r="A22" s="4" t="s">
        <v>21</v>
      </c>
      <c r="B22">
        <f>1-('Portfolio debt assets '!B22)/(('Portfolio debt assets '!B22+('Domestic debt'!B22*1000)))</f>
        <v>0.7823639183705573</v>
      </c>
      <c r="C22">
        <f>1-('Portfolio debt assets '!C22)/(('Portfolio debt assets '!C22+('Domestic debt'!C22*1000)))</f>
        <v>0.78036224711520707</v>
      </c>
      <c r="D22">
        <f>1-('Portfolio debt assets '!D22)/(('Portfolio debt assets '!D22+('Domestic debt'!D22*1000)))</f>
        <v>0.75546085595207757</v>
      </c>
      <c r="E22">
        <f>1-('Portfolio debt assets '!E22)/(('Portfolio debt assets '!E22+('Domestic debt'!E22*1000)))</f>
        <v>0.73508228183850832</v>
      </c>
      <c r="F22">
        <f>1-('Portfolio debt assets '!F22)/(('Portfolio debt assets '!F22+('Domestic debt'!F22*1000)))</f>
        <v>0.7425441581482688</v>
      </c>
      <c r="G22">
        <f>1-('Portfolio debt assets '!G22)/(('Portfolio debt assets '!G22+('Domestic debt'!G22*1000)))</f>
        <v>0.72047983633531931</v>
      </c>
      <c r="H22">
        <f>1-('Portfolio debt assets '!H22)/(('Portfolio debt assets '!H22+('Domestic debt'!H22*1000)))</f>
        <v>0.68809882084837815</v>
      </c>
      <c r="I22">
        <f>1-('Portfolio debt assets '!I22)/(('Portfolio debt assets '!I22+('Domestic debt'!I22*1000)))</f>
        <v>0.61089604493307981</v>
      </c>
      <c r="J22">
        <f>1-('Portfolio debt assets '!J22)/(('Portfolio debt assets '!J22+('Domestic debt'!J22*1000)))</f>
        <v>0.59855272880368027</v>
      </c>
      <c r="K22">
        <f>1-('Portfolio debt assets '!K22)/(('Portfolio debt assets '!K22+('Domestic debt'!K22*1000)))</f>
        <v>0.61349427036601578</v>
      </c>
      <c r="L22">
        <f>1-('Portfolio debt assets '!L22)/(('Portfolio debt assets '!L22+('Domestic debt'!L22*1000)))</f>
        <v>0.60711711803070778</v>
      </c>
    </row>
    <row r="23" spans="1:12" ht="14.4" customHeight="1" x14ac:dyDescent="0.3">
      <c r="A23" s="4" t="s">
        <v>22</v>
      </c>
      <c r="B23">
        <f>1-('Portfolio debt assets '!B23)/(('Portfolio debt assets '!B23+('Domestic debt'!B23*1000)))</f>
        <v>0.28571572269355938</v>
      </c>
      <c r="C23">
        <f>1-('Portfolio debt assets '!C23)/(('Portfolio debt assets '!C23+('Domestic debt'!C23*1000)))</f>
        <v>0.28363726274816281</v>
      </c>
      <c r="D23">
        <f>1-('Portfolio debt assets '!D23)/(('Portfolio debt assets '!D23+('Domestic debt'!D23*1000)))</f>
        <v>0.29089729846018253</v>
      </c>
      <c r="E23">
        <f>1-('Portfolio debt assets '!E23)/(('Portfolio debt assets '!E23+('Domestic debt'!E23*1000)))</f>
        <v>0.23846616020990452</v>
      </c>
      <c r="F23">
        <f>1-('Portfolio debt assets '!F23)/(('Portfolio debt assets '!F23+('Domestic debt'!F23*1000)))</f>
        <v>0.21231548358886321</v>
      </c>
      <c r="G23">
        <f>1-('Portfolio debt assets '!G23)/(('Portfolio debt assets '!G23+('Domestic debt'!G23*1000)))</f>
        <v>0.19665521871031688</v>
      </c>
      <c r="H23">
        <f>1-('Portfolio debt assets '!H23)/(('Portfolio debt assets '!H23+('Domestic debt'!H23*1000)))</f>
        <v>0.18867336827487513</v>
      </c>
      <c r="I23">
        <f>1-('Portfolio debt assets '!I23)/(('Portfolio debt assets '!I23+('Domestic debt'!I23*1000)))</f>
        <v>0.16780146242315974</v>
      </c>
      <c r="J23">
        <f>1-('Portfolio debt assets '!J23)/(('Portfolio debt assets '!J23+('Domestic debt'!J23*1000)))</f>
        <v>0.16955660229242631</v>
      </c>
      <c r="K23">
        <f>1-('Portfolio debt assets '!K23)/(('Portfolio debt assets '!K23+('Domestic debt'!K23*1000)))</f>
        <v>0.17906942141919457</v>
      </c>
      <c r="L23">
        <f>1-('Portfolio debt assets '!L23)/(('Portfolio debt assets '!L23+('Domestic debt'!L23*1000)))</f>
        <v>0.17764232520520706</v>
      </c>
    </row>
    <row r="24" spans="1:12" x14ac:dyDescent="0.3">
      <c r="A24" s="4" t="s">
        <v>23</v>
      </c>
      <c r="B24">
        <f>1-('Portfolio debt assets '!B24)/(('Portfolio debt assets '!B24+('Domestic debt'!B24*1000)))</f>
        <v>0.50882534849421956</v>
      </c>
      <c r="C24">
        <f>1-('Portfolio debt assets '!C24)/(('Portfolio debt assets '!C24+('Domestic debt'!C24*1000)))</f>
        <v>0.46785797847449695</v>
      </c>
      <c r="D24">
        <f>1-('Portfolio debt assets '!D24)/(('Portfolio debt assets '!D24+('Domestic debt'!D24*1000)))</f>
        <v>0.52942197965765314</v>
      </c>
      <c r="E24">
        <f>1-('Portfolio debt assets '!E24)/(('Portfolio debt assets '!E24+('Domestic debt'!E24*1000)))</f>
        <v>0.57014060319845439</v>
      </c>
      <c r="F24">
        <f>1-('Portfolio debt assets '!F24)/(('Portfolio debt assets '!F24+('Domestic debt'!F24*1000)))</f>
        <v>0.56991411701556627</v>
      </c>
      <c r="G24">
        <f>1-('Portfolio debt assets '!G24)/(('Portfolio debt assets '!G24+('Domestic debt'!G24*1000)))</f>
        <v>0.59544358421119425</v>
      </c>
      <c r="H24">
        <f>1-('Portfolio debt assets '!H24)/(('Portfolio debt assets '!H24+('Domestic debt'!H24*1000)))</f>
        <v>0.60151752277681514</v>
      </c>
      <c r="I24">
        <f>1-('Portfolio debt assets '!I24)/(('Portfolio debt assets '!I24+('Domestic debt'!I24*1000)))</f>
        <v>0.65353294988460664</v>
      </c>
      <c r="J24">
        <f>1-('Portfolio debt assets '!J24)/(('Portfolio debt assets '!J24+('Domestic debt'!J24*1000)))</f>
        <v>0.72986590267445894</v>
      </c>
      <c r="K24">
        <f>1-('Portfolio debt assets '!K24)/(('Portfolio debt assets '!K24+('Domestic debt'!K24*1000)))</f>
        <v>0.73762181999350762</v>
      </c>
      <c r="L24">
        <f>1-('Portfolio debt assets '!L24)/(('Portfolio debt assets '!L24+('Domestic debt'!L24*1000)))</f>
        <v>0.78640949072415167</v>
      </c>
    </row>
    <row r="25" spans="1:12" x14ac:dyDescent="0.3">
      <c r="A25" s="4" t="s">
        <v>24</v>
      </c>
      <c r="B25">
        <f>1-('Portfolio debt assets '!B25)/(('Portfolio debt assets '!B25+('Domestic debt'!B25*1000)))</f>
        <v>0.22810125233211609</v>
      </c>
      <c r="C25">
        <f>1-('Portfolio debt assets '!C25)/(('Portfolio debt assets '!C25+('Domestic debt'!C25*1000)))</f>
        <v>0.25054032233496248</v>
      </c>
      <c r="D25">
        <f>1-('Portfolio debt assets '!D25)/(('Portfolio debt assets '!D25+('Domestic debt'!D25*1000)))</f>
        <v>0.25040009609979108</v>
      </c>
      <c r="E25">
        <f>1-('Portfolio debt assets '!E25)/(('Portfolio debt assets '!E25+('Domestic debt'!E25*1000)))</f>
        <v>0.25586369501666573</v>
      </c>
      <c r="F25">
        <f>1-('Portfolio debt assets '!F25)/(('Portfolio debt assets '!F25+('Domestic debt'!F25*1000)))</f>
        <v>0.22764029863409108</v>
      </c>
      <c r="G25">
        <f>1-('Portfolio debt assets '!G25)/(('Portfolio debt assets '!G25+('Domestic debt'!G25*1000)))</f>
        <v>0.22649109994557159</v>
      </c>
      <c r="H25">
        <f>1-('Portfolio debt assets '!H25)/(('Portfolio debt assets '!H25+('Domestic debt'!H25*1000)))</f>
        <v>0.23021999374567537</v>
      </c>
      <c r="I25">
        <f>1-('Portfolio debt assets '!I25)/(('Portfolio debt assets '!I25+('Domestic debt'!I25*1000)))</f>
        <v>0.19056738842253362</v>
      </c>
      <c r="J25">
        <f>1-('Portfolio debt assets '!J25)/(('Portfolio debt assets '!J25+('Domestic debt'!J25*1000)))</f>
        <v>0.1787592203620032</v>
      </c>
      <c r="K25">
        <f>1-('Portfolio debt assets '!K25)/(('Portfolio debt assets '!K25+('Domestic debt'!K25*1000)))</f>
        <v>0.18248934109266279</v>
      </c>
      <c r="L25">
        <f>1-('Portfolio debt assets '!L25)/(('Portfolio debt assets '!L25+('Domestic debt'!L25*1000)))</f>
        <v>0.15974055461050363</v>
      </c>
    </row>
    <row r="26" spans="1:12" x14ac:dyDescent="0.3">
      <c r="A26" s="4" t="s">
        <v>25</v>
      </c>
      <c r="B26">
        <f>1-('Portfolio debt assets '!B26)/(('Portfolio debt assets '!B26+('Domestic debt'!B26*1000)))</f>
        <v>0.87163782946531687</v>
      </c>
      <c r="C26">
        <f>1-('Portfolio debt assets '!C26)/(('Portfolio debt assets '!C26+('Domestic debt'!C26*1000)))</f>
        <v>0.87114703320529019</v>
      </c>
      <c r="D26">
        <f>1-('Portfolio debt assets '!D26)/(('Portfolio debt assets '!D26+('Domestic debt'!D26*1000)))</f>
        <v>0.86202311939594789</v>
      </c>
      <c r="E26">
        <f>1-('Portfolio debt assets '!E26)/(('Portfolio debt assets '!E26+('Domestic debt'!E26*1000)))</f>
        <v>0.85349106986842083</v>
      </c>
      <c r="F26">
        <f>1-('Portfolio debt assets '!F26)/(('Portfolio debt assets '!F26+('Domestic debt'!F26*1000)))</f>
        <v>0.84324624056421527</v>
      </c>
      <c r="G26">
        <f>1-('Portfolio debt assets '!G26)/(('Portfolio debt assets '!G26+('Domestic debt'!G26*1000)))</f>
        <v>0.84598318529319139</v>
      </c>
      <c r="H26">
        <f>1-('Portfolio debt assets '!H26)/(('Portfolio debt assets '!H26+('Domestic debt'!H26*1000)))</f>
        <v>0.84700469587575489</v>
      </c>
      <c r="I26">
        <f>1-('Portfolio debt assets '!I26)/(('Portfolio debt assets '!I26+('Domestic debt'!I26*1000)))</f>
        <v>0.83438266295152819</v>
      </c>
      <c r="J26">
        <f>1-('Portfolio debt assets '!J26)/(('Portfolio debt assets '!J26+('Domestic debt'!J26*1000)))</f>
        <v>0.83533662855024893</v>
      </c>
      <c r="K26">
        <f>1-('Portfolio debt assets '!K26)/(('Portfolio debt assets '!K26+('Domestic debt'!K26*1000)))</f>
        <v>0.82695325322348645</v>
      </c>
      <c r="L26">
        <f>1-('Portfolio debt assets '!L26)/(('Portfolio debt assets '!L26+('Domestic debt'!L26*1000)))</f>
        <v>0.83419043651280012</v>
      </c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CFB7-CB95-4988-A752-6A7D60F32F93}">
  <dimension ref="A1:L26"/>
  <sheetViews>
    <sheetView workbookViewId="0">
      <selection activeCell="H17" sqref="H17"/>
    </sheetView>
  </sheetViews>
  <sheetFormatPr defaultRowHeight="14.4" x14ac:dyDescent="0.3"/>
  <cols>
    <col min="1" max="1" width="13.5546875" bestFit="1" customWidth="1"/>
  </cols>
  <sheetData>
    <row r="1" spans="1:12" ht="22.2" customHeight="1" x14ac:dyDescent="0.3">
      <c r="A1" s="2" t="s">
        <v>0</v>
      </c>
      <c r="B1" s="7"/>
      <c r="C1" s="7"/>
      <c r="D1" s="7"/>
      <c r="E1" s="7" t="s">
        <v>26</v>
      </c>
      <c r="F1" s="7"/>
      <c r="G1" s="7"/>
      <c r="H1" s="7"/>
      <c r="I1" s="7"/>
      <c r="J1" s="7"/>
      <c r="K1" s="7"/>
      <c r="L1" s="7"/>
    </row>
    <row r="2" spans="1:12" ht="22.2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</row>
    <row r="3" spans="1:12" x14ac:dyDescent="0.3">
      <c r="A3" s="4" t="s">
        <v>2</v>
      </c>
      <c r="B3">
        <v>21523.6548</v>
      </c>
      <c r="C3">
        <v>22662.36261652</v>
      </c>
      <c r="D3">
        <v>27175.365000000002</v>
      </c>
      <c r="E3">
        <v>31681.587579840099</v>
      </c>
      <c r="F3">
        <v>33076.225706759898</v>
      </c>
      <c r="G3">
        <v>36782.432999160097</v>
      </c>
      <c r="H3">
        <v>57208.807599999898</v>
      </c>
      <c r="I3">
        <v>59195.453999999998</v>
      </c>
      <c r="J3">
        <v>60057.793200000102</v>
      </c>
      <c r="K3">
        <v>65500.8469999999</v>
      </c>
      <c r="L3">
        <v>92943.000000000306</v>
      </c>
    </row>
    <row r="4" spans="1:12" x14ac:dyDescent="0.3">
      <c r="A4" s="4" t="s">
        <v>3</v>
      </c>
      <c r="B4">
        <v>3722.3091493041302</v>
      </c>
      <c r="C4">
        <v>4941.1979214148996</v>
      </c>
      <c r="D4">
        <v>5868.35844567803</v>
      </c>
      <c r="E4">
        <v>6454.2632828190599</v>
      </c>
      <c r="F4">
        <v>11501.6227341091</v>
      </c>
      <c r="G4">
        <v>17225.266025368201</v>
      </c>
      <c r="H4">
        <v>28935.795180000001</v>
      </c>
      <c r="I4">
        <v>42698.318749999999</v>
      </c>
      <c r="J4">
        <v>31190.320009633298</v>
      </c>
      <c r="K4">
        <v>30047.485041673401</v>
      </c>
      <c r="L4">
        <v>44150.093062961998</v>
      </c>
    </row>
    <row r="5" spans="1:12" x14ac:dyDescent="0.3">
      <c r="A5" s="4" t="s">
        <v>4</v>
      </c>
      <c r="B5">
        <v>59318.7482691775</v>
      </c>
      <c r="C5">
        <v>59803.690616411499</v>
      </c>
      <c r="D5">
        <v>63766.785653578103</v>
      </c>
      <c r="E5">
        <v>64571.160756131903</v>
      </c>
      <c r="F5">
        <v>64661.430119176599</v>
      </c>
      <c r="G5">
        <v>94141.6361769512</v>
      </c>
      <c r="H5">
        <v>125273.62</v>
      </c>
      <c r="I5">
        <v>124687</v>
      </c>
      <c r="J5">
        <v>110225.95359999999</v>
      </c>
      <c r="K5">
        <v>104970.6752</v>
      </c>
      <c r="L5">
        <v>146643.141</v>
      </c>
    </row>
    <row r="6" spans="1:12" x14ac:dyDescent="0.3">
      <c r="A6" s="4" t="s">
        <v>5</v>
      </c>
      <c r="B6">
        <v>69689.521827948905</v>
      </c>
      <c r="C6">
        <v>74056.705664146095</v>
      </c>
      <c r="D6">
        <v>89141.3075994518</v>
      </c>
      <c r="E6">
        <v>117443.81949511199</v>
      </c>
      <c r="F6">
        <v>138738.31527438</v>
      </c>
      <c r="G6">
        <v>155873.51659818701</v>
      </c>
      <c r="H6">
        <v>235440.449663965</v>
      </c>
      <c r="I6">
        <v>239948.02734244801</v>
      </c>
      <c r="J6">
        <v>230766.924912104</v>
      </c>
      <c r="K6">
        <v>203461.210699797</v>
      </c>
      <c r="L6">
        <v>275909.88044735801</v>
      </c>
    </row>
    <row r="7" spans="1:12" x14ac:dyDescent="0.3">
      <c r="A7" s="4" t="s">
        <v>6</v>
      </c>
      <c r="B7">
        <v>7973.4219269102996</v>
      </c>
      <c r="C7">
        <v>8877.1987506164696</v>
      </c>
      <c r="D7">
        <v>10818.6080057699</v>
      </c>
      <c r="E7">
        <v>16149.3817814787</v>
      </c>
      <c r="F7">
        <v>22414.298271315602</v>
      </c>
      <c r="G7">
        <v>32622.876379863799</v>
      </c>
      <c r="H7">
        <v>50132.318754392603</v>
      </c>
      <c r="I7">
        <v>56480.1446293872</v>
      </c>
      <c r="J7">
        <v>47977.515745056196</v>
      </c>
      <c r="K7">
        <v>35795.8578338144</v>
      </c>
      <c r="L7">
        <v>52117.8300778673</v>
      </c>
    </row>
    <row r="8" spans="1:12" x14ac:dyDescent="0.3">
      <c r="A8" s="4" t="s">
        <v>7</v>
      </c>
      <c r="B8">
        <v>308.23753133373702</v>
      </c>
      <c r="C8">
        <v>418.493843818519</v>
      </c>
      <c r="D8">
        <v>737.85160372596704</v>
      </c>
      <c r="E8">
        <v>1563.5564934645399</v>
      </c>
      <c r="F8">
        <v>3245.33731805855</v>
      </c>
      <c r="G8">
        <v>5270.8006279434903</v>
      </c>
      <c r="H8">
        <v>13669.592199999999</v>
      </c>
      <c r="I8">
        <v>20263.498500000002</v>
      </c>
      <c r="J8">
        <v>20157.093599999898</v>
      </c>
      <c r="K8">
        <v>22943.123016000001</v>
      </c>
      <c r="L8">
        <v>36081.889199999998</v>
      </c>
    </row>
    <row r="9" spans="1:12" x14ac:dyDescent="0.3">
      <c r="A9" s="4" t="s">
        <v>8</v>
      </c>
      <c r="B9">
        <v>51965.058095157299</v>
      </c>
      <c r="C9">
        <v>53744.855967078198</v>
      </c>
      <c r="D9">
        <v>58363.265306122397</v>
      </c>
      <c r="E9">
        <v>73519.190376169601</v>
      </c>
      <c r="F9">
        <v>99126.601092166107</v>
      </c>
      <c r="G9">
        <v>143051.528788175</v>
      </c>
      <c r="H9">
        <v>190673.08</v>
      </c>
      <c r="I9">
        <v>210060.375</v>
      </c>
      <c r="J9">
        <v>201747.19599999901</v>
      </c>
      <c r="K9">
        <v>200095.1061</v>
      </c>
      <c r="L9">
        <v>340240.83299999998</v>
      </c>
    </row>
    <row r="10" spans="1:12" x14ac:dyDescent="0.3">
      <c r="A10" s="4" t="s">
        <v>9</v>
      </c>
      <c r="B10">
        <v>115203.614667207</v>
      </c>
      <c r="C10">
        <v>145785.12396694199</v>
      </c>
      <c r="D10">
        <v>165971.39867457299</v>
      </c>
      <c r="E10">
        <v>187491.638795987</v>
      </c>
      <c r="F10">
        <v>241387.19937503501</v>
      </c>
      <c r="G10">
        <v>370572.02630005998</v>
      </c>
      <c r="H10">
        <v>507080.89140000002</v>
      </c>
      <c r="I10">
        <v>573062.38249999995</v>
      </c>
      <c r="J10">
        <v>490736.04159999901</v>
      </c>
      <c r="K10">
        <v>437829.10389999999</v>
      </c>
      <c r="L10">
        <v>576236.17200000002</v>
      </c>
    </row>
    <row r="11" spans="1:12" x14ac:dyDescent="0.3">
      <c r="A11" s="4" t="s">
        <v>10</v>
      </c>
      <c r="B11">
        <v>391.66037735849102</v>
      </c>
      <c r="C11">
        <v>411.84905660377399</v>
      </c>
      <c r="D11">
        <v>510.77358490566002</v>
      </c>
      <c r="E11">
        <v>593.54716981132106</v>
      </c>
      <c r="F11">
        <v>999.33962264150898</v>
      </c>
      <c r="G11">
        <v>1177</v>
      </c>
      <c r="H11">
        <v>1147.2532000000001</v>
      </c>
      <c r="I11">
        <v>1345.5029999999999</v>
      </c>
      <c r="J11">
        <v>2559.29519999999</v>
      </c>
      <c r="K11">
        <v>2596.5812000000001</v>
      </c>
      <c r="L11">
        <v>4386.3990000000003</v>
      </c>
    </row>
    <row r="12" spans="1:12" x14ac:dyDescent="0.3">
      <c r="A12" s="4" t="s">
        <v>11</v>
      </c>
      <c r="B12">
        <v>22.057001239157401</v>
      </c>
      <c r="C12">
        <v>47.588330156868501</v>
      </c>
      <c r="D12">
        <v>102.376207266595</v>
      </c>
      <c r="E12">
        <v>182.26939751831401</v>
      </c>
      <c r="F12">
        <v>397.28456636187298</v>
      </c>
      <c r="G12">
        <v>830.04904789382601</v>
      </c>
      <c r="H12">
        <v>1713.1219848380399</v>
      </c>
      <c r="I12">
        <v>2012.44391971665</v>
      </c>
      <c r="J12">
        <v>1754.43419135503</v>
      </c>
      <c r="K12">
        <v>1848.4239265326401</v>
      </c>
      <c r="L12">
        <v>3183.0539512607402</v>
      </c>
    </row>
    <row r="13" spans="1:12" x14ac:dyDescent="0.3">
      <c r="A13" s="4" t="s">
        <v>12</v>
      </c>
      <c r="B13">
        <v>13322.1843999924</v>
      </c>
      <c r="C13">
        <v>14941.5823799913</v>
      </c>
      <c r="D13">
        <v>21132.554300002201</v>
      </c>
      <c r="E13">
        <v>26887.849620022302</v>
      </c>
      <c r="F13">
        <v>39803.457869999998</v>
      </c>
      <c r="G13">
        <v>60785.341500000002</v>
      </c>
      <c r="H13">
        <v>118794.9546</v>
      </c>
      <c r="I13">
        <v>130898.08749999999</v>
      </c>
      <c r="J13">
        <v>133758.42619999999</v>
      </c>
      <c r="K13">
        <v>152856.41459999999</v>
      </c>
      <c r="L13">
        <v>222502.71</v>
      </c>
    </row>
    <row r="14" spans="1:12" x14ac:dyDescent="0.3">
      <c r="A14" s="4" t="s">
        <v>13</v>
      </c>
      <c r="B14">
        <v>29894.301825725801</v>
      </c>
      <c r="C14">
        <v>33838.688647466101</v>
      </c>
      <c r="D14">
        <v>41860.026334617003</v>
      </c>
      <c r="E14">
        <v>50700.777435679098</v>
      </c>
      <c r="F14">
        <v>75233.5</v>
      </c>
      <c r="G14">
        <v>103667.59587511601</v>
      </c>
      <c r="H14">
        <v>212734.09599999999</v>
      </c>
      <c r="I14">
        <v>290478.83750000002</v>
      </c>
      <c r="J14">
        <v>243512.00299999901</v>
      </c>
      <c r="K14">
        <v>252384.33679999999</v>
      </c>
      <c r="L14">
        <v>337503.91200000001</v>
      </c>
    </row>
    <row r="15" spans="1:12" x14ac:dyDescent="0.3">
      <c r="A15" s="4" t="s">
        <v>14</v>
      </c>
      <c r="B15">
        <v>108620.396687418</v>
      </c>
      <c r="C15">
        <v>119049.762260433</v>
      </c>
      <c r="D15">
        <v>146260.81882719099</v>
      </c>
      <c r="E15">
        <v>155093.26533286599</v>
      </c>
      <c r="F15">
        <v>158793.879026095</v>
      </c>
      <c r="G15">
        <v>209402.353981842</v>
      </c>
      <c r="H15">
        <v>285415.92336103099</v>
      </c>
      <c r="I15">
        <v>262251.75573902798</v>
      </c>
      <c r="J15">
        <v>227351.39281864901</v>
      </c>
      <c r="K15">
        <v>210818.267642461</v>
      </c>
      <c r="L15">
        <v>274458.158815509</v>
      </c>
    </row>
    <row r="16" spans="1:12" x14ac:dyDescent="0.3">
      <c r="A16" s="4" t="s">
        <v>15</v>
      </c>
      <c r="B16">
        <v>1785</v>
      </c>
      <c r="C16">
        <v>1878</v>
      </c>
      <c r="D16">
        <v>2212</v>
      </c>
      <c r="E16">
        <v>2361</v>
      </c>
      <c r="F16">
        <v>2946</v>
      </c>
      <c r="G16">
        <v>3322</v>
      </c>
      <c r="H16">
        <v>3381</v>
      </c>
      <c r="I16">
        <v>2855</v>
      </c>
      <c r="J16">
        <v>7882</v>
      </c>
      <c r="K16">
        <v>6922</v>
      </c>
      <c r="L16">
        <v>9418</v>
      </c>
    </row>
    <row r="17" spans="1:12" x14ac:dyDescent="0.3">
      <c r="A17" s="4" t="s">
        <v>16</v>
      </c>
      <c r="B17">
        <v>59663.352053171198</v>
      </c>
      <c r="C17">
        <v>67258.179217336205</v>
      </c>
      <c r="D17">
        <v>91747.070555971106</v>
      </c>
      <c r="E17">
        <v>107708.763477862</v>
      </c>
      <c r="F17">
        <v>124066.032123736</v>
      </c>
      <c r="G17">
        <v>173149.08936891099</v>
      </c>
      <c r="H17">
        <v>249426.10639999999</v>
      </c>
      <c r="I17">
        <v>253589.16500000001</v>
      </c>
      <c r="J17">
        <v>235023.32139999999</v>
      </c>
      <c r="K17">
        <v>217387.12040000001</v>
      </c>
      <c r="L17">
        <v>355375.36200000002</v>
      </c>
    </row>
    <row r="18" spans="1:12" x14ac:dyDescent="0.3">
      <c r="A18" s="4" t="s">
        <v>17</v>
      </c>
      <c r="B18">
        <v>630.32637743999999</v>
      </c>
      <c r="C18">
        <v>952.18499999999699</v>
      </c>
      <c r="D18">
        <v>1233.4304</v>
      </c>
      <c r="E18">
        <v>4586.8819999999996</v>
      </c>
      <c r="F18">
        <v>4095.1680000000001</v>
      </c>
      <c r="G18">
        <v>4392.76530000001</v>
      </c>
      <c r="H18">
        <v>4355.3395999999902</v>
      </c>
      <c r="I18">
        <v>6606.9618</v>
      </c>
      <c r="J18">
        <v>11677.212</v>
      </c>
      <c r="K18">
        <v>12851.3385</v>
      </c>
      <c r="L18">
        <v>17876.95</v>
      </c>
    </row>
    <row r="19" spans="1:12" x14ac:dyDescent="0.3">
      <c r="A19" s="4" t="s">
        <v>18</v>
      </c>
      <c r="B19">
        <v>5092.7992044885796</v>
      </c>
      <c r="C19">
        <v>4918.79429031372</v>
      </c>
      <c r="D19">
        <v>6374.3510025313799</v>
      </c>
      <c r="E19">
        <v>8946.2988622904395</v>
      </c>
      <c r="F19">
        <v>12825.293096478699</v>
      </c>
      <c r="G19">
        <v>25280.131578947399</v>
      </c>
      <c r="H19">
        <v>35166.490453386403</v>
      </c>
      <c r="I19">
        <v>43899.1919534384</v>
      </c>
      <c r="J19">
        <v>41570.753251364898</v>
      </c>
      <c r="K19">
        <v>55418.694000000003</v>
      </c>
      <c r="L19">
        <v>76359.346999999994</v>
      </c>
    </row>
    <row r="20" spans="1:12" x14ac:dyDescent="0.3">
      <c r="A20" s="4" t="s">
        <v>19</v>
      </c>
      <c r="B20">
        <v>1079.1425474795101</v>
      </c>
      <c r="C20">
        <v>1477.1849790301001</v>
      </c>
      <c r="D20">
        <v>2843.6026532372198</v>
      </c>
      <c r="E20">
        <v>4726.7374925273098</v>
      </c>
      <c r="F20">
        <v>4765.3848997622999</v>
      </c>
      <c r="G20">
        <v>6007.7849678520497</v>
      </c>
      <c r="H20">
        <v>8184.4762000000001</v>
      </c>
      <c r="I20">
        <v>8509.4225000000006</v>
      </c>
      <c r="J20">
        <v>8394.3824999999797</v>
      </c>
      <c r="K20">
        <v>9495.9785000000102</v>
      </c>
      <c r="L20">
        <v>12451.916999999999</v>
      </c>
    </row>
    <row r="21" spans="1:12" x14ac:dyDescent="0.3">
      <c r="A21" s="4" t="s">
        <v>20</v>
      </c>
      <c r="B21">
        <v>5952.8720680807501</v>
      </c>
      <c r="C21">
        <v>7149.6104963387797</v>
      </c>
      <c r="D21">
        <v>8935.2531325029595</v>
      </c>
      <c r="E21">
        <v>10727.2562179089</v>
      </c>
      <c r="F21">
        <v>22307.4</v>
      </c>
      <c r="G21">
        <v>37805.229312887197</v>
      </c>
      <c r="H21">
        <v>67167.107621855699</v>
      </c>
      <c r="I21">
        <v>90034.710217390399</v>
      </c>
      <c r="J21">
        <v>65741.454799999803</v>
      </c>
      <c r="K21">
        <v>53181.674400000004</v>
      </c>
      <c r="L21">
        <v>80975.982000000004</v>
      </c>
    </row>
    <row r="22" spans="1:12" x14ac:dyDescent="0.3">
      <c r="A22" s="4" t="s">
        <v>21</v>
      </c>
      <c r="B22">
        <v>15053.892936713401</v>
      </c>
      <c r="C22">
        <v>18226.898076794201</v>
      </c>
      <c r="D22">
        <v>29737.766964044298</v>
      </c>
      <c r="E22">
        <v>38858.972493086898</v>
      </c>
      <c r="F22">
        <v>51247.937031864902</v>
      </c>
      <c r="G22">
        <v>71207.046272174703</v>
      </c>
      <c r="H22">
        <v>109726.803519062</v>
      </c>
      <c r="I22">
        <v>98469.008914525402</v>
      </c>
      <c r="J22">
        <v>105050.57417389299</v>
      </c>
      <c r="K22">
        <v>94902.322946175598</v>
      </c>
      <c r="L22">
        <v>142560.09013520301</v>
      </c>
    </row>
    <row r="23" spans="1:12" x14ac:dyDescent="0.3">
      <c r="A23" s="4" t="s">
        <v>22</v>
      </c>
      <c r="B23">
        <v>88919.161879013205</v>
      </c>
      <c r="C23">
        <v>100796.797560046</v>
      </c>
      <c r="D23">
        <v>120543.242068666</v>
      </c>
      <c r="E23">
        <v>138922.60843731399</v>
      </c>
      <c r="F23">
        <v>165437.77915206499</v>
      </c>
      <c r="G23">
        <v>209630.095895387</v>
      </c>
      <c r="H23">
        <v>259995.03375844</v>
      </c>
      <c r="I23">
        <v>267273.94378246297</v>
      </c>
      <c r="J23">
        <v>243702.65426578399</v>
      </c>
      <c r="K23">
        <v>218272.085376406</v>
      </c>
      <c r="L23">
        <v>293656.20179481001</v>
      </c>
    </row>
    <row r="24" spans="1:12" x14ac:dyDescent="0.3">
      <c r="A24" s="4" t="s">
        <v>23</v>
      </c>
      <c r="B24">
        <v>636.57163455561101</v>
      </c>
      <c r="C24">
        <v>649.79427388363001</v>
      </c>
      <c r="D24">
        <v>840.79820704014503</v>
      </c>
      <c r="E24">
        <v>925.395227204344</v>
      </c>
      <c r="F24">
        <v>1096.51823467228</v>
      </c>
      <c r="G24">
        <v>1338.03800869576</v>
      </c>
      <c r="H24">
        <v>1725.55494302238</v>
      </c>
      <c r="I24">
        <v>1495.50398346528</v>
      </c>
      <c r="J24">
        <v>1271.46661874557</v>
      </c>
      <c r="K24">
        <v>1048.38733959717</v>
      </c>
      <c r="L24">
        <v>1419.1623050119199</v>
      </c>
    </row>
    <row r="25" spans="1:12" x14ac:dyDescent="0.3">
      <c r="A25" s="4" t="s">
        <v>24</v>
      </c>
      <c r="B25">
        <v>287395.7548</v>
      </c>
      <c r="C25">
        <v>291917.1875</v>
      </c>
      <c r="D25">
        <v>336303.5</v>
      </c>
      <c r="E25">
        <v>404674.152</v>
      </c>
      <c r="F25">
        <v>466938.85340000002</v>
      </c>
      <c r="G25">
        <v>505148.391</v>
      </c>
      <c r="H25">
        <v>675262.41480000096</v>
      </c>
      <c r="I25">
        <v>617132.13840000005</v>
      </c>
      <c r="J25">
        <v>585288.61439999996</v>
      </c>
      <c r="K25">
        <v>577640.10759999999</v>
      </c>
      <c r="L25">
        <v>753141.61529999902</v>
      </c>
    </row>
    <row r="26" spans="1:12" x14ac:dyDescent="0.3">
      <c r="A26" s="4" t="s">
        <v>25</v>
      </c>
      <c r="B26">
        <v>543862</v>
      </c>
      <c r="C26">
        <v>626762</v>
      </c>
      <c r="D26">
        <v>790615</v>
      </c>
      <c r="E26">
        <v>1006135</v>
      </c>
      <c r="F26">
        <v>1207787</v>
      </c>
      <c r="G26">
        <v>1474983</v>
      </c>
      <c r="H26">
        <v>2003716</v>
      </c>
      <c r="I26">
        <v>1852842</v>
      </c>
      <c r="J26">
        <v>1612673</v>
      </c>
      <c r="K26">
        <v>1373980</v>
      </c>
      <c r="L26">
        <v>2079422</v>
      </c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3B0B-DDED-4C9A-B43C-B5DE8A27E64D}">
  <dimension ref="A1:L26"/>
  <sheetViews>
    <sheetView workbookViewId="0">
      <selection activeCell="N12" sqref="N12"/>
    </sheetView>
  </sheetViews>
  <sheetFormatPr defaultRowHeight="14.4" x14ac:dyDescent="0.3"/>
  <cols>
    <col min="1" max="1" width="13.5546875" bestFit="1" customWidth="1"/>
  </cols>
  <sheetData>
    <row r="1" spans="1:12" x14ac:dyDescent="0.3">
      <c r="A1" s="2" t="s">
        <v>0</v>
      </c>
      <c r="B1" s="7"/>
      <c r="C1" s="7"/>
      <c r="D1" s="7"/>
      <c r="E1" s="7" t="s">
        <v>27</v>
      </c>
      <c r="F1" s="7"/>
      <c r="G1" s="7"/>
      <c r="H1" s="7"/>
      <c r="I1" s="7"/>
      <c r="J1" s="7"/>
      <c r="K1" s="7"/>
      <c r="L1" s="7"/>
    </row>
    <row r="2" spans="1:12" ht="31.8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</row>
    <row r="3" spans="1:12" x14ac:dyDescent="0.3">
      <c r="A3" s="4" t="s">
        <v>2</v>
      </c>
      <c r="B3">
        <v>26138.768400000001</v>
      </c>
      <c r="C3">
        <v>28053.35447772</v>
      </c>
      <c r="D3">
        <v>33098.114999999998</v>
      </c>
      <c r="E3">
        <v>41645.803705740203</v>
      </c>
      <c r="F3">
        <v>46181.136507539901</v>
      </c>
      <c r="G3">
        <v>48065.915182960103</v>
      </c>
      <c r="H3">
        <v>56233.991799999902</v>
      </c>
      <c r="I3">
        <v>58248.114000000001</v>
      </c>
      <c r="J3">
        <v>58008.244800000102</v>
      </c>
      <c r="K3">
        <v>72792.370599999893</v>
      </c>
      <c r="L3">
        <v>99926.250000000306</v>
      </c>
    </row>
    <row r="4" spans="1:12" x14ac:dyDescent="0.3">
      <c r="A4" s="4" t="s">
        <v>3</v>
      </c>
      <c r="B4">
        <v>88487.194268302701</v>
      </c>
      <c r="C4">
        <v>99772.084966724404</v>
      </c>
      <c r="D4">
        <v>116574.147501983</v>
      </c>
      <c r="E4">
        <v>116578.418842432</v>
      </c>
      <c r="F4">
        <v>117402.200585767</v>
      </c>
      <c r="G4">
        <v>132481.68894185801</v>
      </c>
      <c r="H4">
        <v>157599.03604000001</v>
      </c>
      <c r="I4">
        <v>174967.12580000001</v>
      </c>
      <c r="J4">
        <v>191173.720063432</v>
      </c>
      <c r="K4">
        <v>247000.38230530801</v>
      </c>
      <c r="L4">
        <v>327260.91466694401</v>
      </c>
    </row>
    <row r="5" spans="1:12" x14ac:dyDescent="0.3">
      <c r="A5" s="4" t="s">
        <v>4</v>
      </c>
      <c r="B5">
        <v>324619.21905289398</v>
      </c>
      <c r="C5">
        <v>380651.74715351401</v>
      </c>
      <c r="D5">
        <v>433460.58133605297</v>
      </c>
      <c r="E5">
        <v>433144.66489611001</v>
      </c>
      <c r="F5">
        <v>425554.63163597003</v>
      </c>
      <c r="G5">
        <v>450961.749266078</v>
      </c>
      <c r="H5">
        <v>468771.47499999998</v>
      </c>
      <c r="I5">
        <v>436784.14399999997</v>
      </c>
      <c r="J5">
        <v>459931.96269999899</v>
      </c>
      <c r="K5">
        <v>575445.8101</v>
      </c>
      <c r="L5">
        <v>768175.54500000004</v>
      </c>
    </row>
    <row r="6" spans="1:12" x14ac:dyDescent="0.3">
      <c r="A6" s="4" t="s">
        <v>5</v>
      </c>
      <c r="B6">
        <v>100141.66270174801</v>
      </c>
      <c r="C6">
        <v>117441.25621665</v>
      </c>
      <c r="D6">
        <v>136800.222230643</v>
      </c>
      <c r="E6">
        <v>152605.29123441401</v>
      </c>
      <c r="F6">
        <v>163079.886491135</v>
      </c>
      <c r="G6">
        <v>160368.16271656501</v>
      </c>
      <c r="H6">
        <v>150871.175897596</v>
      </c>
      <c r="I6">
        <v>154029.39750262501</v>
      </c>
      <c r="J6">
        <v>159645.58762150901</v>
      </c>
      <c r="K6">
        <v>165005.06231276999</v>
      </c>
      <c r="L6">
        <v>193738.68251032699</v>
      </c>
    </row>
    <row r="7" spans="1:12" x14ac:dyDescent="0.3">
      <c r="A7" s="4" t="s">
        <v>6</v>
      </c>
      <c r="B7">
        <v>77076.4119601329</v>
      </c>
      <c r="C7">
        <v>71181.982574387599</v>
      </c>
      <c r="D7">
        <v>75549.945906959998</v>
      </c>
      <c r="E7">
        <v>87307.595256119093</v>
      </c>
      <c r="F7">
        <v>86580.720773513094</v>
      </c>
      <c r="G7">
        <v>101591.638612699</v>
      </c>
      <c r="H7">
        <v>92683.948748445706</v>
      </c>
      <c r="I7">
        <v>97502.150738732002</v>
      </c>
      <c r="J7">
        <v>97689.7150703566</v>
      </c>
      <c r="K7">
        <v>127061.194512948</v>
      </c>
      <c r="L7">
        <v>176731.08639960099</v>
      </c>
    </row>
    <row r="8" spans="1:12" x14ac:dyDescent="0.3">
      <c r="A8" s="4" t="s">
        <v>7</v>
      </c>
      <c r="B8">
        <v>25487.0775347913</v>
      </c>
      <c r="C8">
        <v>27393.320964749499</v>
      </c>
      <c r="D8">
        <v>30987.9319047401</v>
      </c>
      <c r="E8">
        <v>38321.884622838501</v>
      </c>
      <c r="F8">
        <v>37798.8082719944</v>
      </c>
      <c r="G8">
        <v>41238.422291993702</v>
      </c>
      <c r="H8">
        <v>50299.3174</v>
      </c>
      <c r="I8">
        <v>64498.538</v>
      </c>
      <c r="J8">
        <v>78155.446599999806</v>
      </c>
      <c r="K8">
        <v>100101.110159</v>
      </c>
      <c r="L8">
        <v>137628.61743000001</v>
      </c>
    </row>
    <row r="9" spans="1:12" x14ac:dyDescent="0.3">
      <c r="A9" s="4" t="s">
        <v>8</v>
      </c>
      <c r="B9">
        <v>661604.61368840595</v>
      </c>
      <c r="C9">
        <v>764904.60157126805</v>
      </c>
      <c r="D9">
        <v>859826.53061224497</v>
      </c>
      <c r="E9">
        <v>834072.94252434606</v>
      </c>
      <c r="F9">
        <v>902324.61047744704</v>
      </c>
      <c r="G9">
        <v>1016148.77003255</v>
      </c>
      <c r="H9">
        <v>1042245.8760908</v>
      </c>
      <c r="I9">
        <v>1077138.2701065</v>
      </c>
      <c r="J9">
        <v>1206508.0018460001</v>
      </c>
      <c r="K9">
        <v>1521666.6332139</v>
      </c>
      <c r="L9">
        <v>1926305.5353900001</v>
      </c>
    </row>
    <row r="10" spans="1:12" x14ac:dyDescent="0.3">
      <c r="A10" s="4" t="s">
        <v>9</v>
      </c>
      <c r="B10">
        <v>943696.92405723198</v>
      </c>
      <c r="C10">
        <v>1024490.57334711</v>
      </c>
      <c r="D10">
        <v>1179105.68538542</v>
      </c>
      <c r="E10">
        <v>1185145.9994854601</v>
      </c>
      <c r="F10">
        <v>1140963.67390213</v>
      </c>
      <c r="G10">
        <v>1393041.84100418</v>
      </c>
      <c r="H10">
        <v>1457271.7553999999</v>
      </c>
      <c r="I10">
        <v>1512242.0865</v>
      </c>
      <c r="J10">
        <v>1645212.6026000001</v>
      </c>
      <c r="K10">
        <v>2094684.9157</v>
      </c>
      <c r="L10">
        <v>2699701.6529999999</v>
      </c>
    </row>
    <row r="11" spans="1:12" x14ac:dyDescent="0.3">
      <c r="A11" s="4" t="s">
        <v>10</v>
      </c>
      <c r="B11">
        <v>19082.0901604551</v>
      </c>
      <c r="C11">
        <v>26281.7562328438</v>
      </c>
      <c r="D11">
        <v>33398.120383733803</v>
      </c>
      <c r="E11">
        <v>41127.3486713643</v>
      </c>
      <c r="F11">
        <v>40491.874013074099</v>
      </c>
      <c r="G11">
        <v>42052</v>
      </c>
      <c r="H11">
        <v>43991.434000000001</v>
      </c>
      <c r="I11">
        <v>37728.983500000002</v>
      </c>
      <c r="J11">
        <v>43916.060299999903</v>
      </c>
      <c r="K11">
        <v>62865.240150947102</v>
      </c>
      <c r="L11">
        <v>91890.702462174595</v>
      </c>
    </row>
    <row r="12" spans="1:12" x14ac:dyDescent="0.3">
      <c r="A12" s="4" t="s">
        <v>11</v>
      </c>
      <c r="B12">
        <v>219.702602230483</v>
      </c>
      <c r="C12">
        <v>318.355079900308</v>
      </c>
      <c r="D12">
        <v>297.133220910624</v>
      </c>
      <c r="E12">
        <v>331.30512782179699</v>
      </c>
      <c r="F12">
        <v>408.36796896647297</v>
      </c>
      <c r="G12">
        <v>514.71436814772096</v>
      </c>
      <c r="H12">
        <v>688.03583735354903</v>
      </c>
      <c r="I12">
        <v>588.42975206611595</v>
      </c>
      <c r="J12">
        <v>966.61486158329296</v>
      </c>
      <c r="K12">
        <v>1625.3412757508099</v>
      </c>
      <c r="L12">
        <v>4150.2324271024099</v>
      </c>
    </row>
    <row r="13" spans="1:12" x14ac:dyDescent="0.3">
      <c r="A13" s="4" t="s">
        <v>12</v>
      </c>
      <c r="B13">
        <v>40702.392779231603</v>
      </c>
      <c r="C13">
        <v>55200.338643005802</v>
      </c>
      <c r="D13">
        <v>83239.762291665204</v>
      </c>
      <c r="E13">
        <v>124466.22711998499</v>
      </c>
      <c r="F13">
        <v>197007.62714999999</v>
      </c>
      <c r="G13">
        <v>335797.65049999999</v>
      </c>
      <c r="H13">
        <v>422184.15460000001</v>
      </c>
      <c r="I13">
        <v>468654.69949999999</v>
      </c>
      <c r="J13">
        <v>561139.57339999895</v>
      </c>
      <c r="K13">
        <v>750674.14179999998</v>
      </c>
      <c r="L13">
        <v>1057107.003</v>
      </c>
    </row>
    <row r="14" spans="1:12" x14ac:dyDescent="0.3">
      <c r="A14" s="4" t="s">
        <v>13</v>
      </c>
      <c r="B14">
        <v>306567.01702494803</v>
      </c>
      <c r="C14">
        <v>353603.02870396501</v>
      </c>
      <c r="D14">
        <v>414330.60729971202</v>
      </c>
      <c r="E14">
        <v>526343.16145900998</v>
      </c>
      <c r="F14">
        <v>561985.94591749297</v>
      </c>
      <c r="G14">
        <v>728571.77424233302</v>
      </c>
      <c r="H14">
        <v>626082.79359999998</v>
      </c>
      <c r="I14">
        <v>604499.32499999995</v>
      </c>
      <c r="J14">
        <v>601028.09269999794</v>
      </c>
      <c r="K14">
        <v>717320.23829999997</v>
      </c>
      <c r="L14">
        <v>934911.75300000003</v>
      </c>
    </row>
    <row r="15" spans="1:12" x14ac:dyDescent="0.3">
      <c r="A15" s="4" t="s">
        <v>14</v>
      </c>
      <c r="B15">
        <v>1712779.6033125799</v>
      </c>
      <c r="C15">
        <v>1902514.70535537</v>
      </c>
      <c r="D15">
        <v>2060118.6424195301</v>
      </c>
      <c r="E15">
        <v>1970220.0513033201</v>
      </c>
      <c r="F15">
        <v>2010692.95418365</v>
      </c>
      <c r="G15">
        <v>2213698.8412448098</v>
      </c>
      <c r="H15">
        <v>2144476.6339694299</v>
      </c>
      <c r="I15">
        <v>2064590.62890806</v>
      </c>
      <c r="J15">
        <v>1950631.5391390801</v>
      </c>
      <c r="K15">
        <v>2066039.8905286</v>
      </c>
      <c r="L15">
        <v>2311887.1527728098</v>
      </c>
    </row>
    <row r="16" spans="1:12" x14ac:dyDescent="0.3">
      <c r="A16" s="4" t="s">
        <v>15</v>
      </c>
      <c r="B16">
        <v>25481</v>
      </c>
      <c r="C16">
        <v>25876</v>
      </c>
      <c r="D16">
        <v>33514</v>
      </c>
      <c r="E16">
        <v>37754</v>
      </c>
      <c r="F16">
        <v>43263</v>
      </c>
      <c r="G16">
        <v>43874</v>
      </c>
      <c r="H16">
        <v>47689</v>
      </c>
      <c r="I16">
        <v>63789.097453000002</v>
      </c>
      <c r="J16">
        <v>61967.862761562101</v>
      </c>
      <c r="K16">
        <v>62224.005913633497</v>
      </c>
      <c r="L16">
        <v>63475.5862180029</v>
      </c>
    </row>
    <row r="17" spans="1:12" x14ac:dyDescent="0.3">
      <c r="A17" s="4" t="s">
        <v>16</v>
      </c>
      <c r="B17">
        <v>274419.59915503103</v>
      </c>
      <c r="C17">
        <v>200071.67632989399</v>
      </c>
      <c r="D17">
        <v>339421.590625779</v>
      </c>
      <c r="E17">
        <v>355433.01215875201</v>
      </c>
      <c r="F17">
        <v>391641.87983343302</v>
      </c>
      <c r="G17">
        <v>526175.34942820796</v>
      </c>
      <c r="H17">
        <v>497993.27980000002</v>
      </c>
      <c r="I17">
        <v>529539.17550000001</v>
      </c>
      <c r="J17">
        <v>610276.45490000001</v>
      </c>
      <c r="K17">
        <v>785065.20959999994</v>
      </c>
      <c r="L17">
        <v>1130372.3700000001</v>
      </c>
    </row>
    <row r="18" spans="1:12" x14ac:dyDescent="0.3">
      <c r="A18" s="4" t="s">
        <v>17</v>
      </c>
      <c r="B18">
        <v>2086.55912532</v>
      </c>
      <c r="C18">
        <v>3794.60499999999</v>
      </c>
      <c r="D18">
        <v>3398.4665999999902</v>
      </c>
      <c r="E18">
        <v>5884.51</v>
      </c>
      <c r="F18">
        <v>5732.6535000000003</v>
      </c>
      <c r="G18">
        <v>4429.6483000000098</v>
      </c>
      <c r="H18">
        <v>5746.9033999999901</v>
      </c>
      <c r="I18">
        <v>8888.0781999999999</v>
      </c>
      <c r="J18">
        <v>12996.424499999999</v>
      </c>
      <c r="K18">
        <v>17233.924500000001</v>
      </c>
      <c r="L18">
        <v>19834.75</v>
      </c>
    </row>
    <row r="19" spans="1:12" x14ac:dyDescent="0.3">
      <c r="A19" s="4" t="s">
        <v>18</v>
      </c>
      <c r="B19">
        <v>25671.85</v>
      </c>
      <c r="C19">
        <v>33869.582144307496</v>
      </c>
      <c r="D19">
        <v>37047.097075071397</v>
      </c>
      <c r="E19">
        <v>45771.260589185898</v>
      </c>
      <c r="F19">
        <v>57147.9175022571</v>
      </c>
      <c r="G19">
        <v>62136.315789473701</v>
      </c>
      <c r="H19">
        <v>74462.964114683695</v>
      </c>
      <c r="I19">
        <v>98899.248460190996</v>
      </c>
      <c r="J19">
        <v>115648.386524036</v>
      </c>
      <c r="K19">
        <v>168051.73923654499</v>
      </c>
      <c r="L19">
        <v>219255.688622755</v>
      </c>
    </row>
    <row r="20" spans="1:12" x14ac:dyDescent="0.3">
      <c r="A20" s="4" t="s">
        <v>19</v>
      </c>
      <c r="B20">
        <v>25328.8577328104</v>
      </c>
      <c r="C20">
        <v>37092.013567630398</v>
      </c>
      <c r="D20">
        <v>45347.399547433997</v>
      </c>
      <c r="E20">
        <v>59554.137047909797</v>
      </c>
      <c r="F20">
        <v>73143.693216329993</v>
      </c>
      <c r="G20">
        <v>92820.778969903899</v>
      </c>
      <c r="H20">
        <v>92360.914799999999</v>
      </c>
      <c r="I20">
        <v>102116.792</v>
      </c>
      <c r="J20">
        <v>112552.58560000001</v>
      </c>
      <c r="K20">
        <v>148652.17629999999</v>
      </c>
      <c r="L20">
        <v>210379.17300000001</v>
      </c>
    </row>
    <row r="21" spans="1:12" x14ac:dyDescent="0.3">
      <c r="A21" s="4" t="s">
        <v>20</v>
      </c>
      <c r="B21">
        <v>144078.64204649301</v>
      </c>
      <c r="C21">
        <v>144520.60513591301</v>
      </c>
      <c r="D21">
        <v>191410.850925384</v>
      </c>
      <c r="E21">
        <v>184383.92687107201</v>
      </c>
      <c r="F21">
        <v>181302.817365625</v>
      </c>
      <c r="G21">
        <v>247091.67481902501</v>
      </c>
      <c r="H21">
        <v>283437.84399999998</v>
      </c>
      <c r="I21">
        <v>308405.8505</v>
      </c>
      <c r="J21">
        <v>327464.64099999901</v>
      </c>
      <c r="K21">
        <v>474794.73019999999</v>
      </c>
      <c r="L21">
        <v>659604.27599999995</v>
      </c>
    </row>
    <row r="22" spans="1:12" x14ac:dyDescent="0.3">
      <c r="A22" s="4" t="s">
        <v>21</v>
      </c>
      <c r="B22">
        <v>54314.445715662099</v>
      </c>
      <c r="C22">
        <v>64196.207196944299</v>
      </c>
      <c r="D22">
        <v>87561.202727463897</v>
      </c>
      <c r="E22">
        <v>101149.75986028201</v>
      </c>
      <c r="F22">
        <v>83494.985400533202</v>
      </c>
      <c r="G22">
        <v>96911.053219203604</v>
      </c>
      <c r="H22">
        <v>107789.442815249</v>
      </c>
      <c r="I22">
        <v>125569.48085999</v>
      </c>
      <c r="J22">
        <v>110490.555425357</v>
      </c>
      <c r="K22">
        <v>133000.793201133</v>
      </c>
      <c r="L22">
        <v>179951.59405775301</v>
      </c>
    </row>
    <row r="23" spans="1:12" x14ac:dyDescent="0.3">
      <c r="A23" s="4" t="s">
        <v>22</v>
      </c>
      <c r="B23">
        <v>425727.002365664</v>
      </c>
      <c r="C23">
        <v>487024.78078536002</v>
      </c>
      <c r="D23">
        <v>548622.42503259506</v>
      </c>
      <c r="E23">
        <v>596472.59358288802</v>
      </c>
      <c r="F23">
        <v>631552.25726654299</v>
      </c>
      <c r="G23">
        <v>756517.05412277498</v>
      </c>
      <c r="H23">
        <v>705407.68174315896</v>
      </c>
      <c r="I23">
        <v>782140.78154573997</v>
      </c>
      <c r="J23">
        <v>753374.57905926998</v>
      </c>
      <c r="K23">
        <v>923674.81054087903</v>
      </c>
      <c r="L23">
        <v>1033007.33925757</v>
      </c>
    </row>
    <row r="24" spans="1:12" x14ac:dyDescent="0.3">
      <c r="A24" s="4" t="s">
        <v>23</v>
      </c>
      <c r="B24">
        <v>20648</v>
      </c>
      <c r="C24">
        <v>18195</v>
      </c>
      <c r="D24">
        <v>18969</v>
      </c>
      <c r="E24">
        <v>20025</v>
      </c>
      <c r="F24">
        <v>22435</v>
      </c>
      <c r="G24">
        <v>25500</v>
      </c>
      <c r="H24">
        <v>28517</v>
      </c>
      <c r="I24">
        <v>28974</v>
      </c>
      <c r="J24">
        <v>31364.629757021001</v>
      </c>
      <c r="K24">
        <v>32664.334539382598</v>
      </c>
      <c r="L24">
        <v>38116.645876399998</v>
      </c>
    </row>
    <row r="25" spans="1:12" x14ac:dyDescent="0.3">
      <c r="A25" s="4" t="s">
        <v>24</v>
      </c>
      <c r="B25">
        <v>1422174.18</v>
      </c>
      <c r="C25">
        <v>1486820.3125</v>
      </c>
      <c r="D25">
        <v>1690152.55</v>
      </c>
      <c r="E25">
        <v>1972456.23</v>
      </c>
      <c r="F25">
        <v>2379780.1625999999</v>
      </c>
      <c r="G25">
        <v>2508394.977</v>
      </c>
      <c r="H25">
        <v>2543306.7996</v>
      </c>
      <c r="I25">
        <v>2923418.2626</v>
      </c>
      <c r="J25">
        <v>3078237.5847999998</v>
      </c>
      <c r="K25">
        <v>3423213.3709999998</v>
      </c>
      <c r="L25">
        <v>4350807.6939000003</v>
      </c>
    </row>
    <row r="26" spans="1:12" x14ac:dyDescent="0.3">
      <c r="A26" s="4" t="s">
        <v>25</v>
      </c>
      <c r="B26">
        <v>1321315</v>
      </c>
      <c r="C26">
        <v>1410397</v>
      </c>
      <c r="D26">
        <v>1634090</v>
      </c>
      <c r="E26">
        <v>1875623</v>
      </c>
      <c r="F26">
        <v>2157220</v>
      </c>
      <c r="G26">
        <v>2278536</v>
      </c>
      <c r="H26">
        <v>2419905</v>
      </c>
      <c r="I26">
        <v>2726514</v>
      </c>
      <c r="J26">
        <v>2873499</v>
      </c>
      <c r="K26">
        <v>3250042</v>
      </c>
      <c r="L26">
        <v>3321241</v>
      </c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07A8-A7BD-4247-B805-91EEF2D8166F}">
  <dimension ref="A1:L26"/>
  <sheetViews>
    <sheetView workbookViewId="0">
      <selection activeCell="I14" sqref="I14"/>
    </sheetView>
  </sheetViews>
  <sheetFormatPr defaultRowHeight="14.4" x14ac:dyDescent="0.3"/>
  <cols>
    <col min="1" max="1" width="13.5546875" bestFit="1" customWidth="1"/>
  </cols>
  <sheetData>
    <row r="1" spans="1:12" x14ac:dyDescent="0.3">
      <c r="A1" s="2" t="s">
        <v>0</v>
      </c>
      <c r="B1" s="7"/>
      <c r="C1" s="7"/>
      <c r="D1" s="7"/>
      <c r="E1" s="7" t="s">
        <v>28</v>
      </c>
      <c r="F1" s="7"/>
      <c r="G1" s="7"/>
      <c r="H1" s="7"/>
      <c r="I1" s="7"/>
      <c r="J1" s="7"/>
      <c r="K1" s="7"/>
      <c r="L1" s="7"/>
    </row>
    <row r="2" spans="1:12" ht="24.6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</row>
    <row r="3" spans="1:12" x14ac:dyDescent="0.3">
      <c r="A3" s="4" t="s">
        <v>2</v>
      </c>
      <c r="B3">
        <v>35939.113800000101</v>
      </c>
      <c r="C3">
        <v>46570.712400960001</v>
      </c>
      <c r="D3">
        <v>51341.675000000003</v>
      </c>
      <c r="E3">
        <v>61154.480410110198</v>
      </c>
      <c r="F3">
        <v>60327.1038242699</v>
      </c>
      <c r="G3">
        <v>73020.336689450196</v>
      </c>
      <c r="H3">
        <v>100804.84540000001</v>
      </c>
      <c r="I3">
        <v>84947.035999999905</v>
      </c>
      <c r="J3">
        <v>89130.336000000199</v>
      </c>
      <c r="K3">
        <v>87368.057199999806</v>
      </c>
      <c r="L3">
        <v>138978</v>
      </c>
    </row>
    <row r="4" spans="1:12" x14ac:dyDescent="0.3">
      <c r="A4" s="4" t="s">
        <v>3</v>
      </c>
      <c r="B4">
        <v>3590.5459935765498</v>
      </c>
      <c r="C4">
        <v>5378.7947853040396</v>
      </c>
      <c r="D4">
        <v>6988.5011895321204</v>
      </c>
      <c r="E4">
        <v>9056.0525835311291</v>
      </c>
      <c r="F4">
        <v>15661.679727697299</v>
      </c>
      <c r="G4">
        <v>15622.805822763299</v>
      </c>
      <c r="H4">
        <v>14745.0165</v>
      </c>
      <c r="I4">
        <v>19569.345499999999</v>
      </c>
      <c r="J4">
        <v>14919.7972262164</v>
      </c>
      <c r="K4">
        <v>17235.445140028802</v>
      </c>
      <c r="L4">
        <v>26470.539786977999</v>
      </c>
    </row>
    <row r="5" spans="1:12" x14ac:dyDescent="0.3">
      <c r="A5" s="4" t="s">
        <v>4</v>
      </c>
      <c r="B5">
        <v>8252.5616172805294</v>
      </c>
      <c r="C5">
        <v>9736.94542599136</v>
      </c>
      <c r="D5">
        <v>10011.898691144001</v>
      </c>
      <c r="E5">
        <v>11173.2541790345</v>
      </c>
      <c r="F5">
        <v>12099.1332611051</v>
      </c>
      <c r="G5">
        <v>17842.629683726402</v>
      </c>
      <c r="H5">
        <v>15470.84</v>
      </c>
      <c r="I5">
        <v>14236.65</v>
      </c>
      <c r="J5">
        <v>15663.3449</v>
      </c>
      <c r="K5">
        <v>18059.662700000001</v>
      </c>
      <c r="L5">
        <v>27884.513999999999</v>
      </c>
    </row>
    <row r="6" spans="1:12" x14ac:dyDescent="0.3">
      <c r="A6" s="4" t="s">
        <v>5</v>
      </c>
      <c r="B6">
        <v>41005.8431482628</v>
      </c>
      <c r="C6">
        <v>44812.445594097502</v>
      </c>
      <c r="D6">
        <v>57054.989871081198</v>
      </c>
      <c r="E6">
        <v>79913.583268107497</v>
      </c>
      <c r="F6">
        <v>84974.6798684487</v>
      </c>
      <c r="G6">
        <v>92862.1804325384</v>
      </c>
      <c r="H6">
        <v>145243.82386129</v>
      </c>
      <c r="I6">
        <v>152328.55815091301</v>
      </c>
      <c r="J6">
        <v>113270.302130478</v>
      </c>
      <c r="K6">
        <v>99394.956951126893</v>
      </c>
      <c r="L6">
        <v>172321.60394924201</v>
      </c>
    </row>
    <row r="7" spans="1:12" x14ac:dyDescent="0.3">
      <c r="A7" s="4" t="s">
        <v>6</v>
      </c>
      <c r="B7">
        <v>3248.4311554079</v>
      </c>
      <c r="C7">
        <v>6740.0953476902796</v>
      </c>
      <c r="D7">
        <v>8294.2661377569402</v>
      </c>
      <c r="E7">
        <v>12448.4817898898</v>
      </c>
      <c r="F7">
        <v>20363.3167301494</v>
      </c>
      <c r="G7">
        <v>20556.1731777969</v>
      </c>
      <c r="H7">
        <v>20740.2551765151</v>
      </c>
      <c r="I7">
        <v>26023.315254659901</v>
      </c>
      <c r="J7">
        <v>23842.399503061999</v>
      </c>
      <c r="K7">
        <v>20671.5025386179</v>
      </c>
      <c r="L7">
        <v>31257.850094165398</v>
      </c>
    </row>
    <row r="8" spans="1:12" x14ac:dyDescent="0.3">
      <c r="A8" s="4" t="s">
        <v>7</v>
      </c>
      <c r="B8">
        <v>5251.1020831532496</v>
      </c>
      <c r="C8">
        <v>12767.330072524899</v>
      </c>
      <c r="D8">
        <v>14625.3384114165</v>
      </c>
      <c r="E8">
        <v>23456.792781929002</v>
      </c>
      <c r="F8">
        <v>28870.256608924999</v>
      </c>
      <c r="G8">
        <v>79721.742543171102</v>
      </c>
      <c r="H8">
        <v>219531.21960000001</v>
      </c>
      <c r="I8">
        <v>204361.0625</v>
      </c>
      <c r="J8">
        <v>128038.7892</v>
      </c>
      <c r="K8">
        <v>89172.754277</v>
      </c>
      <c r="L8">
        <v>103315.10505</v>
      </c>
    </row>
    <row r="9" spans="1:12" x14ac:dyDescent="0.3">
      <c r="A9" s="4" t="s">
        <v>8</v>
      </c>
      <c r="B9">
        <v>103818.1663981</v>
      </c>
      <c r="C9">
        <v>102207.25776281299</v>
      </c>
      <c r="D9">
        <v>120755.102040816</v>
      </c>
      <c r="E9">
        <v>155317.93011265999</v>
      </c>
      <c r="F9">
        <v>208580.35102954201</v>
      </c>
      <c r="G9">
        <v>300439.33761405898</v>
      </c>
      <c r="H9">
        <v>482208</v>
      </c>
      <c r="I9">
        <v>502116.41</v>
      </c>
      <c r="J9">
        <v>415991.22599999898</v>
      </c>
      <c r="K9">
        <v>345112.48820000002</v>
      </c>
      <c r="L9">
        <v>490900.31400000001</v>
      </c>
    </row>
    <row r="10" spans="1:12" x14ac:dyDescent="0.3">
      <c r="A10" s="4" t="s">
        <v>9</v>
      </c>
      <c r="B10">
        <v>93608.295197821906</v>
      </c>
      <c r="C10">
        <v>99506.069214875999</v>
      </c>
      <c r="D10">
        <v>110776.421346355</v>
      </c>
      <c r="E10">
        <v>140288.783123231</v>
      </c>
      <c r="F10">
        <v>186976.17320461999</v>
      </c>
      <c r="G10">
        <v>289976.09085475199</v>
      </c>
      <c r="H10">
        <v>375408.97399999999</v>
      </c>
      <c r="I10">
        <v>300752.48800000001</v>
      </c>
      <c r="J10">
        <v>294687.33139999898</v>
      </c>
      <c r="K10">
        <v>212677.4087</v>
      </c>
      <c r="L10">
        <v>362453.21399999998</v>
      </c>
    </row>
    <row r="11" spans="1:12" x14ac:dyDescent="0.3">
      <c r="A11" s="4" t="s">
        <v>10</v>
      </c>
      <c r="B11">
        <v>1450.9923185904599</v>
      </c>
      <c r="C11">
        <v>2111.8727033519199</v>
      </c>
      <c r="D11">
        <v>2917.6321492100401</v>
      </c>
      <c r="E11">
        <v>4368.4294329615896</v>
      </c>
      <c r="F11">
        <v>5625.0040272614597</v>
      </c>
      <c r="G11">
        <v>12001</v>
      </c>
      <c r="H11">
        <v>15210.6486</v>
      </c>
      <c r="I11">
        <v>9584.15</v>
      </c>
      <c r="J11">
        <v>7711.37499999998</v>
      </c>
      <c r="K11">
        <v>8425.2558000000008</v>
      </c>
      <c r="L11">
        <v>16139.877</v>
      </c>
    </row>
    <row r="12" spans="1:12" x14ac:dyDescent="0.3">
      <c r="A12" s="4" t="s">
        <v>11</v>
      </c>
      <c r="B12">
        <v>0.46433676214610098</v>
      </c>
      <c r="C12">
        <v>0.60383707695394295</v>
      </c>
      <c r="D12">
        <v>1.0280768729620999</v>
      </c>
      <c r="E12">
        <v>2.4370003038158301</v>
      </c>
      <c r="F12">
        <v>1.72920045750212</v>
      </c>
      <c r="G12">
        <v>6.4168630933272697</v>
      </c>
      <c r="H12">
        <v>60.372451308900501</v>
      </c>
      <c r="I12">
        <v>30.747257720449799</v>
      </c>
      <c r="J12">
        <v>117.82418649829999</v>
      </c>
      <c r="K12">
        <v>236.41102010424399</v>
      </c>
      <c r="L12">
        <v>292.97084096351603</v>
      </c>
    </row>
    <row r="13" spans="1:12" x14ac:dyDescent="0.3">
      <c r="A13" s="4" t="s">
        <v>12</v>
      </c>
      <c r="B13">
        <v>16319.9745477178</v>
      </c>
      <c r="C13">
        <v>20612.312519304</v>
      </c>
      <c r="D13">
        <v>30857.853182531599</v>
      </c>
      <c r="E13">
        <v>44596.626229295201</v>
      </c>
      <c r="F13">
        <v>63195.042509999999</v>
      </c>
      <c r="G13">
        <v>109688.501</v>
      </c>
      <c r="H13">
        <v>160645.58600000001</v>
      </c>
      <c r="I13">
        <v>217502.514</v>
      </c>
      <c r="J13">
        <v>279224.92289999902</v>
      </c>
      <c r="K13">
        <v>343771.2009</v>
      </c>
      <c r="L13">
        <v>481711.989</v>
      </c>
    </row>
    <row r="14" spans="1:12" x14ac:dyDescent="0.3">
      <c r="A14" s="4" t="s">
        <v>13</v>
      </c>
      <c r="B14">
        <v>39717.947554104197</v>
      </c>
      <c r="C14">
        <v>39699.746579163802</v>
      </c>
      <c r="D14">
        <v>58679.4909993029</v>
      </c>
      <c r="E14">
        <v>97281.610720326207</v>
      </c>
      <c r="F14">
        <v>140964.883893433</v>
      </c>
      <c r="G14">
        <v>230761.599419273</v>
      </c>
      <c r="H14">
        <v>196208.42600000001</v>
      </c>
      <c r="I14">
        <v>195863.7365</v>
      </c>
      <c r="J14">
        <v>156569.11410000001</v>
      </c>
      <c r="K14">
        <v>154973.73989999999</v>
      </c>
      <c r="L14">
        <v>213863.79</v>
      </c>
    </row>
    <row r="15" spans="1:12" x14ac:dyDescent="0.3">
      <c r="A15" s="4" t="s">
        <v>14</v>
      </c>
      <c r="B15">
        <v>171170</v>
      </c>
      <c r="C15">
        <v>250879.386404652</v>
      </c>
      <c r="D15">
        <v>306282.21336185897</v>
      </c>
      <c r="E15">
        <v>312550.29327504698</v>
      </c>
      <c r="F15">
        <v>277310.16685605998</v>
      </c>
      <c r="G15">
        <v>302013.45436665299</v>
      </c>
      <c r="H15">
        <v>825970.42501996097</v>
      </c>
      <c r="I15">
        <v>550232.95418895199</v>
      </c>
      <c r="J15">
        <v>376048.35472759901</v>
      </c>
      <c r="K15">
        <v>339928.26796889998</v>
      </c>
      <c r="L15">
        <v>561022.13177504996</v>
      </c>
    </row>
    <row r="16" spans="1:12" x14ac:dyDescent="0.3">
      <c r="A16" s="4" t="s">
        <v>15</v>
      </c>
      <c r="B16">
        <v>48570.367941053199</v>
      </c>
      <c r="C16">
        <v>30351.578777856499</v>
      </c>
      <c r="D16">
        <v>24204.041232249201</v>
      </c>
      <c r="E16">
        <v>30348.310960868799</v>
      </c>
      <c r="F16">
        <v>48767.003346198602</v>
      </c>
      <c r="G16">
        <v>31529.511246718601</v>
      </c>
      <c r="H16">
        <v>59904.37144553</v>
      </c>
      <c r="I16">
        <v>47291.188150502101</v>
      </c>
      <c r="J16">
        <v>54939.53</v>
      </c>
      <c r="K16">
        <v>44563.5</v>
      </c>
      <c r="L16">
        <v>56515.88</v>
      </c>
    </row>
    <row r="17" spans="1:12" x14ac:dyDescent="0.3">
      <c r="A17" s="4" t="s">
        <v>16</v>
      </c>
      <c r="B17">
        <v>92380.081405533507</v>
      </c>
      <c r="C17">
        <v>105238.55143795699</v>
      </c>
      <c r="D17">
        <v>129955.123410621</v>
      </c>
      <c r="E17">
        <v>179628.35512732301</v>
      </c>
      <c r="F17">
        <v>224691.65179456701</v>
      </c>
      <c r="G17">
        <v>308671.11393477302</v>
      </c>
      <c r="H17">
        <v>363795.79800000001</v>
      </c>
      <c r="I17">
        <v>350571.45799999998</v>
      </c>
      <c r="J17">
        <v>283977.77380000002</v>
      </c>
      <c r="K17">
        <v>262250.50640000001</v>
      </c>
      <c r="L17">
        <v>325418.26500000001</v>
      </c>
    </row>
    <row r="18" spans="1:12" x14ac:dyDescent="0.3">
      <c r="A18" s="4" t="s">
        <v>17</v>
      </c>
      <c r="B18">
        <v>3722.4353093661298</v>
      </c>
      <c r="C18">
        <v>4565.52581915885</v>
      </c>
      <c r="D18">
        <v>6210.15743854845</v>
      </c>
      <c r="E18">
        <v>7685.54593935501</v>
      </c>
      <c r="F18">
        <v>7467.5298000000003</v>
      </c>
      <c r="G18">
        <v>6870.9883530173602</v>
      </c>
      <c r="H18">
        <v>7891.4715648436204</v>
      </c>
      <c r="I18">
        <v>4582.0418</v>
      </c>
      <c r="J18">
        <v>4169.9579999999996</v>
      </c>
      <c r="K18">
        <v>5651.97749999999</v>
      </c>
      <c r="L18">
        <v>8964.7999999999902</v>
      </c>
    </row>
    <row r="19" spans="1:12" x14ac:dyDescent="0.3">
      <c r="A19" s="4" t="s">
        <v>18</v>
      </c>
      <c r="B19">
        <v>9558.6625317485395</v>
      </c>
      <c r="C19">
        <v>12663.8041093802</v>
      </c>
      <c r="D19">
        <v>14136.8470635839</v>
      </c>
      <c r="E19">
        <v>17644.6528026386</v>
      </c>
      <c r="F19">
        <v>17310.016964734201</v>
      </c>
      <c r="G19">
        <v>11907.232911212101</v>
      </c>
      <c r="H19">
        <v>14253.569364892601</v>
      </c>
      <c r="I19">
        <v>15581.198681931701</v>
      </c>
      <c r="J19">
        <v>15977.432000000001</v>
      </c>
      <c r="K19">
        <v>15319.972</v>
      </c>
      <c r="L19">
        <v>22512.701000000001</v>
      </c>
    </row>
    <row r="20" spans="1:12" x14ac:dyDescent="0.3">
      <c r="A20" s="4" t="s">
        <v>19</v>
      </c>
      <c r="B20">
        <v>2929.0998348528401</v>
      </c>
      <c r="C20">
        <v>3597.2670073478998</v>
      </c>
      <c r="D20">
        <v>3650.95431126838</v>
      </c>
      <c r="E20">
        <v>6550.7847884663997</v>
      </c>
      <c r="F20">
        <v>12618.0738604079</v>
      </c>
      <c r="G20">
        <v>18806.043396423302</v>
      </c>
      <c r="H20">
        <v>22928.990399999999</v>
      </c>
      <c r="I20">
        <v>21934.676500000001</v>
      </c>
      <c r="J20">
        <v>18131.8662</v>
      </c>
      <c r="K20">
        <v>19551.962800000001</v>
      </c>
      <c r="L20">
        <v>37423.953000000001</v>
      </c>
    </row>
    <row r="21" spans="1:12" x14ac:dyDescent="0.3">
      <c r="A21" s="4" t="s">
        <v>20</v>
      </c>
      <c r="B21">
        <v>22817.725399749699</v>
      </c>
      <c r="C21">
        <v>24146.228527619001</v>
      </c>
      <c r="D21">
        <v>32460.525990659698</v>
      </c>
      <c r="E21">
        <v>39162.064368691703</v>
      </c>
      <c r="F21">
        <v>46973.672067606203</v>
      </c>
      <c r="G21">
        <v>75774.686780781194</v>
      </c>
      <c r="H21">
        <v>146619.36079999999</v>
      </c>
      <c r="I21">
        <v>137268.2905</v>
      </c>
      <c r="J21">
        <v>127040.2763</v>
      </c>
      <c r="K21">
        <v>122663.2929</v>
      </c>
      <c r="L21">
        <v>186769.91399999999</v>
      </c>
    </row>
    <row r="22" spans="1:12" x14ac:dyDescent="0.3">
      <c r="A22" s="4" t="s">
        <v>21</v>
      </c>
      <c r="B22">
        <v>21798.0369723611</v>
      </c>
      <c r="C22">
        <v>35917.710916035699</v>
      </c>
      <c r="D22">
        <v>48061.037517647397</v>
      </c>
      <c r="E22">
        <v>70295.444622325696</v>
      </c>
      <c r="F22">
        <v>79471.880157420295</v>
      </c>
      <c r="G22">
        <v>94032.998387296902</v>
      </c>
      <c r="H22">
        <v>136070.38123167201</v>
      </c>
      <c r="I22">
        <v>126018.45831148401</v>
      </c>
      <c r="J22">
        <v>78435.153503632493</v>
      </c>
      <c r="K22">
        <v>56310.934844192598</v>
      </c>
      <c r="L22">
        <v>89737.522951093299</v>
      </c>
    </row>
    <row r="23" spans="1:12" x14ac:dyDescent="0.3">
      <c r="A23" s="4" t="s">
        <v>22</v>
      </c>
      <c r="B23">
        <v>139055.76208178399</v>
      </c>
      <c r="C23">
        <v>134720.548989706</v>
      </c>
      <c r="D23">
        <v>179289.87396783999</v>
      </c>
      <c r="E23">
        <v>176566.39928698799</v>
      </c>
      <c r="F23">
        <v>246515.495086924</v>
      </c>
      <c r="G23">
        <v>323906.32618961099</v>
      </c>
      <c r="H23">
        <v>314257.14303575899</v>
      </c>
      <c r="I23">
        <v>382037.73846623901</v>
      </c>
      <c r="J23">
        <v>321677.930602754</v>
      </c>
      <c r="K23">
        <v>314770.41029708699</v>
      </c>
      <c r="L23">
        <v>402623.466731344</v>
      </c>
    </row>
    <row r="24" spans="1:12" x14ac:dyDescent="0.3">
      <c r="A24" s="4" t="s">
        <v>23</v>
      </c>
      <c r="B24">
        <v>2409.4012742551699</v>
      </c>
      <c r="C24">
        <v>2135.0215317132702</v>
      </c>
      <c r="D24">
        <v>2170.7879190543199</v>
      </c>
      <c r="E24">
        <v>3085</v>
      </c>
      <c r="F24">
        <v>6018</v>
      </c>
      <c r="G24">
        <v>3700</v>
      </c>
      <c r="H24">
        <v>15358</v>
      </c>
      <c r="I24">
        <v>7404</v>
      </c>
      <c r="J24">
        <v>5635</v>
      </c>
      <c r="K24">
        <v>3450</v>
      </c>
      <c r="L24">
        <v>8954</v>
      </c>
    </row>
    <row r="25" spans="1:12" x14ac:dyDescent="0.3">
      <c r="A25" s="4" t="s">
        <v>24</v>
      </c>
      <c r="B25">
        <v>198058.658</v>
      </c>
      <c r="C25">
        <v>197095.3125</v>
      </c>
      <c r="D25">
        <v>267660.2</v>
      </c>
      <c r="E25">
        <v>383894.02799999999</v>
      </c>
      <c r="F25">
        <v>499229.29840000003</v>
      </c>
      <c r="G25">
        <v>668896.67700000003</v>
      </c>
      <c r="H25">
        <v>1122161.4539999999</v>
      </c>
      <c r="I25">
        <v>1162077.6096000001</v>
      </c>
      <c r="J25">
        <v>934257.75520000001</v>
      </c>
      <c r="K25">
        <v>792502.71840000001</v>
      </c>
      <c r="L25">
        <v>1096728.4898999999</v>
      </c>
    </row>
    <row r="26" spans="1:12" x14ac:dyDescent="0.3">
      <c r="A26" s="4" t="s">
        <v>25</v>
      </c>
      <c r="B26">
        <v>373521</v>
      </c>
      <c r="C26">
        <v>397720</v>
      </c>
      <c r="D26">
        <v>549513</v>
      </c>
      <c r="E26">
        <v>672397</v>
      </c>
      <c r="F26">
        <v>952893</v>
      </c>
      <c r="G26">
        <v>1250342</v>
      </c>
      <c r="H26">
        <v>1611534</v>
      </c>
      <c r="I26">
        <v>1643205</v>
      </c>
      <c r="J26">
        <v>1572681</v>
      </c>
      <c r="K26">
        <v>1335792</v>
      </c>
      <c r="L26">
        <v>1839509</v>
      </c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2C4-563A-4609-98DA-8633EA6A3F78}">
  <dimension ref="A1:L26"/>
  <sheetViews>
    <sheetView workbookViewId="0">
      <selection activeCell="P15" sqref="P15"/>
    </sheetView>
  </sheetViews>
  <sheetFormatPr defaultRowHeight="14.4" x14ac:dyDescent="0.3"/>
  <cols>
    <col min="1" max="1" width="13.5546875" bestFit="1" customWidth="1"/>
  </cols>
  <sheetData>
    <row r="1" spans="1:12" x14ac:dyDescent="0.3">
      <c r="A1" s="2" t="s">
        <v>0</v>
      </c>
      <c r="B1" s="7"/>
      <c r="C1" s="7"/>
      <c r="D1" s="7"/>
      <c r="E1" s="7" t="s">
        <v>29</v>
      </c>
      <c r="F1" s="7"/>
      <c r="G1" s="7"/>
      <c r="H1" s="7"/>
      <c r="I1" s="7"/>
      <c r="J1" s="7"/>
      <c r="K1" s="7"/>
      <c r="L1" s="7"/>
    </row>
    <row r="2" spans="1:12" ht="24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</row>
    <row r="3" spans="1:12" x14ac:dyDescent="0.3">
      <c r="A3" s="4" t="s">
        <v>2</v>
      </c>
      <c r="B3">
        <v>147173.476337717</v>
      </c>
      <c r="C3">
        <v>161939.72464715299</v>
      </c>
      <c r="D3">
        <v>174379.07302761299</v>
      </c>
      <c r="E3">
        <v>204596.57563035001</v>
      </c>
      <c r="F3">
        <v>191238.950983052</v>
      </c>
      <c r="G3">
        <v>194006.663558111</v>
      </c>
      <c r="H3">
        <v>222339.60172969801</v>
      </c>
      <c r="I3">
        <v>223861.78076472299</v>
      </c>
      <c r="J3">
        <v>224252.529518102</v>
      </c>
      <c r="K3">
        <v>270665.59263850999</v>
      </c>
      <c r="L3">
        <v>376270.71585352003</v>
      </c>
    </row>
    <row r="4" spans="1:12" x14ac:dyDescent="0.3">
      <c r="A4" s="4" t="s">
        <v>3</v>
      </c>
      <c r="B4">
        <v>118857.48139044399</v>
      </c>
      <c r="C4">
        <v>137055.981389333</v>
      </c>
      <c r="D4">
        <v>165402.94387874301</v>
      </c>
      <c r="E4">
        <v>162097.88226272599</v>
      </c>
      <c r="F4">
        <v>163791.96054180001</v>
      </c>
      <c r="G4">
        <v>197339.37306266901</v>
      </c>
      <c r="H4">
        <v>224503.001277926</v>
      </c>
      <c r="I4">
        <v>248417.82098236799</v>
      </c>
      <c r="J4">
        <v>265346.57422125601</v>
      </c>
      <c r="K4">
        <v>319153.42610403599</v>
      </c>
      <c r="L4">
        <v>400343.18310014001</v>
      </c>
    </row>
    <row r="5" spans="1:12" x14ac:dyDescent="0.3">
      <c r="A5" s="4" t="s">
        <v>4</v>
      </c>
      <c r="B5">
        <v>335809.13902013103</v>
      </c>
      <c r="C5">
        <v>380700.53286409</v>
      </c>
      <c r="D5">
        <v>431282.52110869699</v>
      </c>
      <c r="E5">
        <v>407175.968486859</v>
      </c>
      <c r="F5">
        <v>386825.65577049699</v>
      </c>
      <c r="G5">
        <v>404457.40702705999</v>
      </c>
      <c r="H5">
        <v>419383.28694492101</v>
      </c>
      <c r="I5">
        <v>401770.784107699</v>
      </c>
      <c r="J5">
        <v>430202.14893719798</v>
      </c>
      <c r="K5">
        <v>541953.55088266602</v>
      </c>
      <c r="L5">
        <v>731850.29117308604</v>
      </c>
    </row>
    <row r="6" spans="1:12" x14ac:dyDescent="0.3">
      <c r="A6" s="4" t="s">
        <v>5</v>
      </c>
      <c r="B6">
        <v>386955.366757276</v>
      </c>
      <c r="C6">
        <v>387114.01102910499</v>
      </c>
      <c r="D6">
        <v>430301.62104153202</v>
      </c>
      <c r="E6">
        <v>449359.52255750599</v>
      </c>
      <c r="F6">
        <v>475019.64320500701</v>
      </c>
      <c r="G6">
        <v>487914.94299630501</v>
      </c>
      <c r="H6">
        <v>457978.907379699</v>
      </c>
      <c r="I6">
        <v>433413.92808519298</v>
      </c>
      <c r="J6">
        <v>457379.64577935898</v>
      </c>
      <c r="K6">
        <v>497447.868154114</v>
      </c>
      <c r="L6">
        <v>552387.17927360896</v>
      </c>
    </row>
    <row r="7" spans="1:12" x14ac:dyDescent="0.3">
      <c r="A7" s="4" t="s">
        <v>6</v>
      </c>
      <c r="B7">
        <v>137565.718964603</v>
      </c>
      <c r="C7">
        <v>127172.177804826</v>
      </c>
      <c r="D7">
        <v>139104.681372197</v>
      </c>
      <c r="E7">
        <v>153339.879873561</v>
      </c>
      <c r="F7">
        <v>155090.43877028799</v>
      </c>
      <c r="G7">
        <v>181801.676540071</v>
      </c>
      <c r="H7">
        <v>171396.22015816899</v>
      </c>
      <c r="I7">
        <v>166439.140182804</v>
      </c>
      <c r="J7">
        <v>169667.14782172101</v>
      </c>
      <c r="K7">
        <v>208159.882973614</v>
      </c>
      <c r="L7">
        <v>270088.86075468</v>
      </c>
    </row>
    <row r="8" spans="1:12" x14ac:dyDescent="0.3">
      <c r="A8" s="4" t="s">
        <v>7</v>
      </c>
      <c r="B8">
        <v>77732.340410983801</v>
      </c>
      <c r="C8">
        <v>89099.560845547094</v>
      </c>
      <c r="D8">
        <v>88012.777197988995</v>
      </c>
      <c r="E8">
        <v>85473.383808724204</v>
      </c>
      <c r="F8">
        <v>80344.718848541306</v>
      </c>
      <c r="G8">
        <v>89920.888252819306</v>
      </c>
      <c r="H8">
        <v>84900.701651900003</v>
      </c>
      <c r="I8">
        <v>99527.952918219104</v>
      </c>
      <c r="J8">
        <v>108350.966073452</v>
      </c>
      <c r="K8">
        <v>129999.3707177</v>
      </c>
      <c r="L8">
        <v>156084.90022958501</v>
      </c>
    </row>
    <row r="9" spans="1:12" x14ac:dyDescent="0.3">
      <c r="A9" s="4" t="s">
        <v>8</v>
      </c>
      <c r="B9">
        <v>752186.34320350003</v>
      </c>
      <c r="C9">
        <v>804545.02028584399</v>
      </c>
      <c r="D9">
        <v>925156.23083496303</v>
      </c>
      <c r="E9">
        <v>887250.723243371</v>
      </c>
      <c r="F9">
        <v>890987.918522491</v>
      </c>
      <c r="G9">
        <v>991271.643832303</v>
      </c>
      <c r="H9">
        <v>993164.71464439796</v>
      </c>
      <c r="I9">
        <v>1091528.4453410499</v>
      </c>
      <c r="J9">
        <v>1257677.3820914801</v>
      </c>
      <c r="K9">
        <v>1578943.37586056</v>
      </c>
      <c r="L9">
        <v>2109505.86964009</v>
      </c>
    </row>
    <row r="10" spans="1:12" x14ac:dyDescent="0.3">
      <c r="A10" s="4" t="s">
        <v>9</v>
      </c>
      <c r="B10">
        <v>916600.19846764195</v>
      </c>
      <c r="C10">
        <v>1053139.55506441</v>
      </c>
      <c r="D10">
        <v>1324221.1227877501</v>
      </c>
      <c r="E10">
        <v>1369862.96347705</v>
      </c>
      <c r="F10">
        <v>1287509.9652007599</v>
      </c>
      <c r="G10">
        <v>1659584.03835509</v>
      </c>
      <c r="H10">
        <v>1740810.23381093</v>
      </c>
      <c r="I10">
        <v>1864379.88718388</v>
      </c>
      <c r="J10">
        <v>1932322.10965813</v>
      </c>
      <c r="K10">
        <v>2482504.2599951401</v>
      </c>
      <c r="L10">
        <v>3043576.7782941698</v>
      </c>
    </row>
    <row r="11" spans="1:12" x14ac:dyDescent="0.3">
      <c r="A11" s="4" t="s">
        <v>10</v>
      </c>
      <c r="B11">
        <v>40960.864955999998</v>
      </c>
      <c r="C11">
        <v>44380.864955999998</v>
      </c>
      <c r="D11">
        <v>50302.864955999998</v>
      </c>
      <c r="E11">
        <v>52411.864955999998</v>
      </c>
      <c r="F11">
        <v>60011.864955999998</v>
      </c>
      <c r="G11">
        <v>66599.792477452298</v>
      </c>
      <c r="H11">
        <v>72210.110393131996</v>
      </c>
      <c r="I11">
        <v>84761.092491413801</v>
      </c>
      <c r="J11">
        <v>98240.848675036206</v>
      </c>
      <c r="K11">
        <v>144981.971351744</v>
      </c>
      <c r="L11">
        <v>204482.12982829299</v>
      </c>
    </row>
    <row r="12" spans="1:12" x14ac:dyDescent="0.3">
      <c r="A12" s="4" t="s">
        <v>11</v>
      </c>
      <c r="B12">
        <v>4026.2575665997301</v>
      </c>
      <c r="C12">
        <v>4085.5291888010602</v>
      </c>
      <c r="D12">
        <v>4264.7719235499699</v>
      </c>
      <c r="E12">
        <v>4431.6683610445698</v>
      </c>
      <c r="F12">
        <v>4607.3989324867498</v>
      </c>
      <c r="G12">
        <v>5838.3523958811602</v>
      </c>
      <c r="H12">
        <v>6767.0839226508097</v>
      </c>
      <c r="I12">
        <v>8518.4042079658793</v>
      </c>
      <c r="J12">
        <v>9061.87471454564</v>
      </c>
      <c r="K12">
        <v>11083.762871192101</v>
      </c>
      <c r="L12">
        <v>16041.611063773</v>
      </c>
    </row>
    <row r="13" spans="1:12" x14ac:dyDescent="0.3">
      <c r="A13" s="4" t="s">
        <v>12</v>
      </c>
      <c r="B13">
        <v>55185.759439169</v>
      </c>
      <c r="C13">
        <v>61251.293531009302</v>
      </c>
      <c r="D13">
        <v>95826.262104997601</v>
      </c>
      <c r="E13">
        <v>123152.071599972</v>
      </c>
      <c r="F13">
        <v>151112.15848851099</v>
      </c>
      <c r="G13">
        <v>228820.6765</v>
      </c>
      <c r="H13">
        <v>292234.12160000001</v>
      </c>
      <c r="I13">
        <v>296082.30849999998</v>
      </c>
      <c r="J13">
        <v>348848.00771149102</v>
      </c>
      <c r="K13">
        <v>470206.80067195703</v>
      </c>
      <c r="L13">
        <v>695414.11499999999</v>
      </c>
    </row>
    <row r="14" spans="1:12" x14ac:dyDescent="0.3">
      <c r="A14" s="4" t="s">
        <v>13</v>
      </c>
      <c r="B14">
        <v>470654.981545004</v>
      </c>
      <c r="C14">
        <v>516564.68547446502</v>
      </c>
      <c r="D14">
        <v>568731.77420131397</v>
      </c>
      <c r="E14">
        <v>660780.60577774805</v>
      </c>
      <c r="F14">
        <v>695801.06650030403</v>
      </c>
      <c r="G14">
        <v>844271.31435893802</v>
      </c>
      <c r="H14">
        <v>803397.34393427498</v>
      </c>
      <c r="I14">
        <v>869818.85395957704</v>
      </c>
      <c r="J14">
        <v>844688.69980309904</v>
      </c>
      <c r="K14">
        <v>1070147.57578727</v>
      </c>
      <c r="L14">
        <v>1364356.25747708</v>
      </c>
    </row>
    <row r="15" spans="1:12" x14ac:dyDescent="0.3">
      <c r="A15" s="4" t="s">
        <v>14</v>
      </c>
      <c r="B15">
        <v>1382004.7883514699</v>
      </c>
      <c r="C15">
        <v>1465171.63130259</v>
      </c>
      <c r="D15">
        <v>1473950.20411451</v>
      </c>
      <c r="E15">
        <v>1369265.20697859</v>
      </c>
      <c r="F15">
        <v>1399381.1187044</v>
      </c>
      <c r="G15">
        <v>1427798.91706246</v>
      </c>
      <c r="H15">
        <v>1266480.00976732</v>
      </c>
      <c r="I15">
        <v>1207912.03441867</v>
      </c>
      <c r="J15">
        <v>1091515.36600644</v>
      </c>
      <c r="K15">
        <v>1168144.24008443</v>
      </c>
      <c r="L15">
        <v>1328643.5623218601</v>
      </c>
    </row>
    <row r="16" spans="1:12" x14ac:dyDescent="0.3">
      <c r="A16" s="4" t="s">
        <v>15</v>
      </c>
      <c r="B16">
        <v>132416.28</v>
      </c>
      <c r="C16">
        <v>141193.75</v>
      </c>
      <c r="D16">
        <v>166048.35</v>
      </c>
      <c r="E16">
        <v>159046.57232572499</v>
      </c>
      <c r="F16">
        <v>152253.00821872099</v>
      </c>
      <c r="G16">
        <v>166600.00017209401</v>
      </c>
      <c r="H16">
        <v>179686.11489658299</v>
      </c>
      <c r="I16">
        <v>166578.351725557</v>
      </c>
      <c r="J16">
        <v>164159.67156844999</v>
      </c>
      <c r="K16">
        <v>161712.89583764999</v>
      </c>
      <c r="L16">
        <v>168811.13247438701</v>
      </c>
    </row>
    <row r="17" spans="1:12" x14ac:dyDescent="0.3">
      <c r="A17" s="4" t="s">
        <v>16</v>
      </c>
      <c r="B17">
        <v>269556.16260528902</v>
      </c>
      <c r="C17">
        <v>286488.12047415198</v>
      </c>
      <c r="D17">
        <v>340897.42015023</v>
      </c>
      <c r="E17">
        <v>353332.00435700797</v>
      </c>
      <c r="F17">
        <v>374966.00740799902</v>
      </c>
      <c r="G17">
        <v>500655.14208466897</v>
      </c>
      <c r="H17">
        <v>513116.09015339997</v>
      </c>
      <c r="I17">
        <v>576671.41578939999</v>
      </c>
      <c r="J17">
        <v>676245.51648820005</v>
      </c>
      <c r="K17">
        <v>910223.91073680006</v>
      </c>
      <c r="L17">
        <v>1664764.0464423599</v>
      </c>
    </row>
    <row r="18" spans="1:12" x14ac:dyDescent="0.3">
      <c r="A18" s="4" t="s">
        <v>17</v>
      </c>
      <c r="B18">
        <v>29376.67374858</v>
      </c>
      <c r="C18">
        <v>35373.479999999901</v>
      </c>
      <c r="D18">
        <v>35493.788999999902</v>
      </c>
      <c r="E18">
        <v>39511.29</v>
      </c>
      <c r="F18">
        <v>33473.926500000001</v>
      </c>
      <c r="G18">
        <v>31997.0563</v>
      </c>
      <c r="H18">
        <v>33154.931599999902</v>
      </c>
      <c r="I18">
        <v>41175.8678</v>
      </c>
      <c r="J18">
        <v>43693.148999999998</v>
      </c>
      <c r="K18">
        <v>54808.1234999999</v>
      </c>
      <c r="L18">
        <v>70228.599999999904</v>
      </c>
    </row>
    <row r="19" spans="1:12" x14ac:dyDescent="0.3">
      <c r="A19" s="4" t="s">
        <v>18</v>
      </c>
      <c r="B19">
        <v>44283.991074069701</v>
      </c>
      <c r="C19">
        <v>45416.569381678499</v>
      </c>
      <c r="D19">
        <v>50209.655981655</v>
      </c>
      <c r="E19">
        <v>61533.673565475903</v>
      </c>
      <c r="F19">
        <v>71112.724534621695</v>
      </c>
      <c r="G19">
        <v>83800.566347218104</v>
      </c>
      <c r="H19">
        <v>95648.389381033601</v>
      </c>
      <c r="I19">
        <v>124134.845839298</v>
      </c>
      <c r="J19">
        <v>126540.239221767</v>
      </c>
      <c r="K19">
        <v>179667.62666288301</v>
      </c>
      <c r="L19">
        <v>222192.11559376499</v>
      </c>
    </row>
    <row r="20" spans="1:12" x14ac:dyDescent="0.3">
      <c r="A20" s="4" t="s">
        <v>19</v>
      </c>
      <c r="B20">
        <v>35217.346003563602</v>
      </c>
      <c r="C20">
        <v>47402.359955155604</v>
      </c>
      <c r="D20">
        <v>62389.772000554003</v>
      </c>
      <c r="E20">
        <v>73025.714705693899</v>
      </c>
      <c r="F20">
        <v>87173.580682827698</v>
      </c>
      <c r="G20">
        <v>111779.39144647701</v>
      </c>
      <c r="H20">
        <v>117859.51854784699</v>
      </c>
      <c r="I20">
        <v>140556.36104547899</v>
      </c>
      <c r="J20">
        <v>163307.56393229699</v>
      </c>
      <c r="K20">
        <v>216156.076076386</v>
      </c>
      <c r="L20">
        <v>281043.68593171699</v>
      </c>
    </row>
    <row r="21" spans="1:12" x14ac:dyDescent="0.3">
      <c r="A21" s="4" t="s">
        <v>20</v>
      </c>
      <c r="B21">
        <v>203140.12206635199</v>
      </c>
      <c r="C21">
        <v>202206.37653756599</v>
      </c>
      <c r="D21">
        <v>242213.72491340499</v>
      </c>
      <c r="E21">
        <v>253592.87518566701</v>
      </c>
      <c r="F21">
        <v>264091.18284776801</v>
      </c>
      <c r="G21">
        <v>334703.076507886</v>
      </c>
      <c r="H21">
        <v>390483.23369303002</v>
      </c>
      <c r="I21">
        <v>452257.79487405199</v>
      </c>
      <c r="J21">
        <v>476405.305644306</v>
      </c>
      <c r="K21">
        <v>665296.71412619902</v>
      </c>
      <c r="L21">
        <v>895491.699329269</v>
      </c>
    </row>
    <row r="22" spans="1:12" x14ac:dyDescent="0.3">
      <c r="A22" s="4" t="s">
        <v>21</v>
      </c>
      <c r="B22">
        <v>181467.06318396601</v>
      </c>
      <c r="C22">
        <v>202061.95956402301</v>
      </c>
      <c r="D22">
        <v>227304.667213554</v>
      </c>
      <c r="E22">
        <v>231179.69927757399</v>
      </c>
      <c r="F22">
        <v>201517.08516635999</v>
      </c>
      <c r="G22">
        <v>226453.05538891099</v>
      </c>
      <c r="H22">
        <v>219568.27058128</v>
      </c>
      <c r="I22">
        <v>232210.97386766001</v>
      </c>
      <c r="J22">
        <v>239931.46986922799</v>
      </c>
      <c r="K22">
        <v>278666.14795534499</v>
      </c>
      <c r="L22">
        <v>352526.93082070502</v>
      </c>
    </row>
    <row r="23" spans="1:12" x14ac:dyDescent="0.3">
      <c r="A23" s="4" t="s">
        <v>22</v>
      </c>
      <c r="B23">
        <v>240834.332417709</v>
      </c>
      <c r="C23">
        <v>306073.53610369802</v>
      </c>
      <c r="D23">
        <v>339652.58235202101</v>
      </c>
      <c r="E23">
        <v>374876.83697266801</v>
      </c>
      <c r="F23">
        <v>413216.77000206098</v>
      </c>
      <c r="G23">
        <v>464493.950236106</v>
      </c>
      <c r="H23">
        <v>464862.82343648397</v>
      </c>
      <c r="I23">
        <v>543201.17378551804</v>
      </c>
      <c r="J23">
        <v>525932.32938889903</v>
      </c>
      <c r="K23">
        <v>624531.30566772399</v>
      </c>
      <c r="L23">
        <v>702558.169706524</v>
      </c>
    </row>
    <row r="24" spans="1:12" x14ac:dyDescent="0.3">
      <c r="A24" s="4" t="s">
        <v>23</v>
      </c>
      <c r="B24">
        <v>67606.264351684105</v>
      </c>
      <c r="C24">
        <v>66190.745221553807</v>
      </c>
      <c r="D24">
        <v>74181.468944357897</v>
      </c>
      <c r="E24">
        <v>79938.670754293693</v>
      </c>
      <c r="F24">
        <v>85892.791011830195</v>
      </c>
      <c r="G24">
        <v>96823.481699203796</v>
      </c>
      <c r="H24">
        <v>109937.690368121</v>
      </c>
      <c r="I24">
        <v>126578.646236149</v>
      </c>
      <c r="J24">
        <v>112932.64657986999</v>
      </c>
      <c r="K24">
        <v>127820.089297064</v>
      </c>
      <c r="L24">
        <v>140608.56162437701</v>
      </c>
    </row>
    <row r="25" spans="1:12" x14ac:dyDescent="0.3">
      <c r="A25" s="4" t="s">
        <v>24</v>
      </c>
      <c r="B25">
        <v>1566071.34350081</v>
      </c>
      <c r="C25">
        <v>1676584.9781885101</v>
      </c>
      <c r="D25">
        <v>1935031.8996283801</v>
      </c>
      <c r="E25">
        <v>2236806.1127876299</v>
      </c>
      <c r="F25">
        <v>2575422.67841142</v>
      </c>
      <c r="G25">
        <v>2740222.4431062602</v>
      </c>
      <c r="H25">
        <v>2732678.4362191199</v>
      </c>
      <c r="I25">
        <v>3051104.9042817499</v>
      </c>
      <c r="J25">
        <v>3308991.3224555599</v>
      </c>
      <c r="K25">
        <v>3794940.6110253199</v>
      </c>
      <c r="L25">
        <v>4748383.2661339296</v>
      </c>
    </row>
    <row r="26" spans="1:12" x14ac:dyDescent="0.3">
      <c r="A26" s="4" t="s">
        <v>25</v>
      </c>
      <c r="B26">
        <v>2071273.7909269601</v>
      </c>
      <c r="C26">
        <v>2269873.5672150301</v>
      </c>
      <c r="D26">
        <v>2686887.0772615401</v>
      </c>
      <c r="E26">
        <v>3077629.30421378</v>
      </c>
      <c r="F26">
        <v>3577050.6952419998</v>
      </c>
      <c r="G26">
        <v>3783522.6574487998</v>
      </c>
      <c r="H26">
        <v>3992218.6644550902</v>
      </c>
      <c r="I26">
        <v>4511576.63599882</v>
      </c>
      <c r="J26">
        <v>5092559.3852982698</v>
      </c>
      <c r="K26">
        <v>5857966.0246454403</v>
      </c>
      <c r="L26">
        <v>6311376.5556339798</v>
      </c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5F2D-BC1D-494E-98E6-EA4249B3E7D1}">
  <dimension ref="A1:N720"/>
  <sheetViews>
    <sheetView workbookViewId="0">
      <selection activeCell="J22" sqref="J22"/>
    </sheetView>
  </sheetViews>
  <sheetFormatPr defaultRowHeight="14.4" x14ac:dyDescent="0.3"/>
  <cols>
    <col min="1" max="1" width="13.5546875" bestFit="1" customWidth="1"/>
    <col min="2" max="2" width="13.44140625" customWidth="1"/>
    <col min="3" max="3" width="11.44140625" customWidth="1"/>
    <col min="4" max="4" width="12.77734375" customWidth="1"/>
    <col min="5" max="5" width="10.77734375" customWidth="1"/>
    <col min="6" max="6" width="12.44140625" customWidth="1"/>
    <col min="7" max="7" width="11.44140625" customWidth="1"/>
    <col min="8" max="8" width="12.77734375" customWidth="1"/>
    <col min="9" max="9" width="12" customWidth="1"/>
    <col min="10" max="10" width="10.5546875" customWidth="1"/>
    <col min="11" max="11" width="12.6640625" customWidth="1"/>
    <col min="12" max="12" width="11.77734375" customWidth="1"/>
  </cols>
  <sheetData>
    <row r="1" spans="1:14" x14ac:dyDescent="0.3">
      <c r="A1" s="2" t="s">
        <v>0</v>
      </c>
      <c r="B1" s="7"/>
      <c r="C1" s="7"/>
      <c r="D1" s="7"/>
      <c r="E1" s="7" t="s">
        <v>31</v>
      </c>
      <c r="F1" s="7"/>
      <c r="G1" s="7"/>
      <c r="H1" s="7"/>
      <c r="I1" s="7"/>
      <c r="J1" s="7"/>
      <c r="K1" s="7"/>
      <c r="L1" s="7"/>
    </row>
    <row r="2" spans="1:14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N2" s="5"/>
    </row>
    <row r="3" spans="1:14" x14ac:dyDescent="0.3">
      <c r="A3" s="4" t="s">
        <v>2</v>
      </c>
      <c r="B3" s="6">
        <v>204866027520</v>
      </c>
      <c r="C3" s="6">
        <v>218865188864</v>
      </c>
      <c r="D3" s="6">
        <v>245218329200</v>
      </c>
      <c r="E3" s="6">
        <v>311980937300</v>
      </c>
      <c r="F3" s="6">
        <v>295784843900</v>
      </c>
      <c r="G3" s="6">
        <v>328948659800</v>
      </c>
      <c r="H3" s="6">
        <v>427683397700</v>
      </c>
      <c r="I3" s="6">
        <v>372794400000</v>
      </c>
      <c r="J3" s="6">
        <v>375130790888.14948</v>
      </c>
      <c r="K3" s="6">
        <v>378845655723.85834</v>
      </c>
      <c r="L3" s="6">
        <v>585475096074.14673</v>
      </c>
    </row>
    <row r="4" spans="1:14" x14ac:dyDescent="0.3">
      <c r="A4" s="4" t="s">
        <v>3</v>
      </c>
      <c r="B4" s="6">
        <v>28437000192</v>
      </c>
      <c r="C4" s="6">
        <v>30272000000</v>
      </c>
      <c r="D4" s="6">
        <v>32513000000</v>
      </c>
      <c r="E4" s="6">
        <v>33953000000</v>
      </c>
      <c r="F4" s="6">
        <v>35724000000</v>
      </c>
      <c r="G4" s="6">
        <v>34106000000</v>
      </c>
      <c r="H4" s="6">
        <v>33024519200.000004</v>
      </c>
      <c r="I4" s="6">
        <v>29935200000</v>
      </c>
      <c r="J4" s="6">
        <v>24511619624.254299</v>
      </c>
      <c r="K4" s="6">
        <v>31899464791.68853</v>
      </c>
      <c r="L4" s="6">
        <v>55085771947.527756</v>
      </c>
    </row>
    <row r="5" spans="1:14" x14ac:dyDescent="0.3">
      <c r="A5" s="4" t="s">
        <v>4</v>
      </c>
      <c r="B5" s="6">
        <v>78066999296</v>
      </c>
      <c r="C5" s="6">
        <v>84102995968</v>
      </c>
      <c r="D5" s="6">
        <v>104960000000</v>
      </c>
      <c r="E5" s="6">
        <v>119831000000</v>
      </c>
      <c r="F5" s="6">
        <v>136965000000</v>
      </c>
      <c r="G5" s="6">
        <v>245657000000</v>
      </c>
      <c r="H5" s="6">
        <v>184941973500</v>
      </c>
      <c r="I5" s="6">
        <v>182481000000</v>
      </c>
      <c r="J5" s="6">
        <v>165843000000</v>
      </c>
      <c r="K5" s="6">
        <v>127556300000</v>
      </c>
      <c r="L5" s="6">
        <v>173552623612.5126</v>
      </c>
    </row>
    <row r="6" spans="1:14" x14ac:dyDescent="0.3">
      <c r="A6" s="4" t="s">
        <v>5</v>
      </c>
      <c r="B6" s="6">
        <v>326524010496</v>
      </c>
      <c r="C6" s="6">
        <v>315009007616</v>
      </c>
      <c r="D6" s="6">
        <v>366344000000</v>
      </c>
      <c r="E6" s="6">
        <v>486268000000</v>
      </c>
      <c r="F6" s="6">
        <v>567635000000</v>
      </c>
      <c r="G6" s="6">
        <v>543394000000</v>
      </c>
      <c r="H6" s="6">
        <v>800914352600</v>
      </c>
      <c r="I6" s="6">
        <v>841385200000</v>
      </c>
      <c r="J6" s="6">
        <v>700751000000</v>
      </c>
      <c r="K6" s="6">
        <v>575316000000</v>
      </c>
      <c r="L6" s="6">
        <v>893950321132.86389</v>
      </c>
    </row>
    <row r="7" spans="1:14" x14ac:dyDescent="0.3">
      <c r="A7" s="4" t="s">
        <v>6</v>
      </c>
      <c r="B7" s="6">
        <v>41784999936</v>
      </c>
      <c r="C7" s="6">
        <v>54399000576</v>
      </c>
      <c r="D7" s="6">
        <v>56223000000</v>
      </c>
      <c r="E7" s="6">
        <v>71688000000</v>
      </c>
      <c r="F7" s="6">
        <v>93766000000</v>
      </c>
      <c r="G7" s="6">
        <v>98881000000</v>
      </c>
      <c r="H7" s="6">
        <v>105292683600</v>
      </c>
      <c r="I7" s="6">
        <v>107666000000</v>
      </c>
      <c r="J7" s="6">
        <v>88370377466.947678</v>
      </c>
      <c r="K7" s="6">
        <v>76787730000</v>
      </c>
      <c r="L7" s="6">
        <v>121616265266.80444</v>
      </c>
    </row>
    <row r="8" spans="1:14" x14ac:dyDescent="0.3">
      <c r="A8" s="4" t="s">
        <v>7</v>
      </c>
      <c r="B8" s="6">
        <v>23562000384</v>
      </c>
      <c r="C8" s="6">
        <v>38278000640</v>
      </c>
      <c r="D8" s="6">
        <v>44138000000</v>
      </c>
      <c r="E8" s="6">
        <v>63078000000</v>
      </c>
      <c r="F8" s="6">
        <v>73322000000</v>
      </c>
      <c r="G8" s="6">
        <v>154518000000</v>
      </c>
      <c r="H8" s="6">
        <v>349408611200</v>
      </c>
      <c r="I8" s="6">
        <v>293634800000</v>
      </c>
      <c r="J8" s="6">
        <v>190456000000</v>
      </c>
      <c r="K8" s="6">
        <v>138832600000</v>
      </c>
      <c r="L8" s="6">
        <v>170283211499.74774</v>
      </c>
    </row>
    <row r="9" spans="1:14" x14ac:dyDescent="0.3">
      <c r="A9" s="4" t="s">
        <v>8</v>
      </c>
      <c r="B9" s="6">
        <v>456110997504</v>
      </c>
      <c r="C9" s="6">
        <v>451263004672</v>
      </c>
      <c r="D9" s="6">
        <v>522053000000</v>
      </c>
      <c r="E9" s="6">
        <v>591123000000</v>
      </c>
      <c r="F9" s="6">
        <v>674368000000</v>
      </c>
      <c r="G9" s="6">
        <v>991484000000</v>
      </c>
      <c r="H9" s="6">
        <v>1475457198700</v>
      </c>
      <c r="I9" s="6">
        <v>1446634100000</v>
      </c>
      <c r="J9" s="6">
        <v>1174428000000</v>
      </c>
      <c r="K9" s="6">
        <v>966961500000</v>
      </c>
      <c r="L9" s="6">
        <v>1355925327951.5642</v>
      </c>
    </row>
    <row r="10" spans="1:14" x14ac:dyDescent="0.3">
      <c r="A10" s="4" t="s">
        <v>9</v>
      </c>
      <c r="B10" s="6">
        <v>463475998720</v>
      </c>
      <c r="C10" s="6">
        <v>470518988800</v>
      </c>
      <c r="D10" s="6">
        <v>577365000000</v>
      </c>
      <c r="E10" s="6">
        <v>670997000000</v>
      </c>
      <c r="F10" s="6">
        <v>825233000000</v>
      </c>
      <c r="G10" s="6">
        <v>1093962000000</v>
      </c>
      <c r="H10" s="6">
        <v>1432190334600</v>
      </c>
      <c r="I10" s="6">
        <v>1270243200000</v>
      </c>
      <c r="J10" s="6">
        <v>1071748687427.0055</v>
      </c>
      <c r="K10" s="6">
        <v>691124490616.30823</v>
      </c>
      <c r="L10" s="6">
        <v>1079026236125.1262</v>
      </c>
    </row>
    <row r="11" spans="1:14" x14ac:dyDescent="0.3">
      <c r="A11" s="4" t="s">
        <v>10</v>
      </c>
      <c r="B11" s="6">
        <v>12318999552</v>
      </c>
      <c r="C11" s="6">
        <v>14920999936</v>
      </c>
      <c r="D11" s="6">
        <v>17060000000</v>
      </c>
      <c r="E11" s="6">
        <v>24178000000</v>
      </c>
      <c r="F11" s="6">
        <v>34164000000</v>
      </c>
      <c r="G11" s="6">
        <v>79992000000</v>
      </c>
      <c r="H11" s="6">
        <v>204212797700</v>
      </c>
      <c r="I11" s="6">
        <v>110838540000</v>
      </c>
      <c r="J11" s="6">
        <v>86537760000</v>
      </c>
      <c r="K11" s="6">
        <v>68740625000</v>
      </c>
      <c r="L11" s="6">
        <v>106844888748.73865</v>
      </c>
    </row>
    <row r="12" spans="1:14" x14ac:dyDescent="0.3">
      <c r="A12" s="4" t="s">
        <v>11</v>
      </c>
      <c r="B12" s="6">
        <v>483999999</v>
      </c>
      <c r="C12" s="6">
        <v>484000000</v>
      </c>
      <c r="D12" s="6">
        <v>720000000</v>
      </c>
      <c r="E12" s="6">
        <v>1210000000</v>
      </c>
      <c r="F12" s="6">
        <v>1859000000</v>
      </c>
      <c r="G12" s="6">
        <v>3106000000</v>
      </c>
      <c r="H12" s="6">
        <v>4807000000</v>
      </c>
      <c r="I12" s="6">
        <v>4439060000</v>
      </c>
      <c r="J12" s="6">
        <v>4161149190.6081371</v>
      </c>
      <c r="K12" s="6">
        <v>6323556848.4248314</v>
      </c>
      <c r="L12" s="6">
        <v>9293236476.4792995</v>
      </c>
    </row>
    <row r="13" spans="1:14" x14ac:dyDescent="0.3">
      <c r="A13" s="4" t="s">
        <v>12</v>
      </c>
      <c r="B13" s="6">
        <v>25835999998</v>
      </c>
      <c r="C13" s="6">
        <v>25835999999</v>
      </c>
      <c r="D13" s="6">
        <v>25836000000</v>
      </c>
      <c r="E13" s="6">
        <v>34738000000</v>
      </c>
      <c r="F13" s="6">
        <v>49371000000</v>
      </c>
      <c r="G13" s="6">
        <v>66596000000</v>
      </c>
      <c r="H13" s="6">
        <v>68773000000</v>
      </c>
      <c r="I13" s="6">
        <v>81882400000</v>
      </c>
      <c r="J13" s="6">
        <v>75298234287.240677</v>
      </c>
      <c r="K13" s="6">
        <v>60384271532.16497</v>
      </c>
      <c r="L13" s="6">
        <v>85070383451.059555</v>
      </c>
    </row>
    <row r="14" spans="1:14" x14ac:dyDescent="0.3">
      <c r="A14" s="4" t="s">
        <v>13</v>
      </c>
      <c r="B14" s="6">
        <v>136152997888</v>
      </c>
      <c r="C14" s="6">
        <v>180135002112</v>
      </c>
      <c r="D14" s="6">
        <v>209522000000</v>
      </c>
      <c r="E14" s="6">
        <v>258160000000</v>
      </c>
      <c r="F14" s="6">
        <v>344665000000</v>
      </c>
      <c r="G14" s="6">
        <v>569731000000</v>
      </c>
      <c r="H14" s="6">
        <v>728273329600</v>
      </c>
      <c r="I14" s="6">
        <v>768363500000</v>
      </c>
      <c r="J14" s="6">
        <v>527396491852.9071</v>
      </c>
      <c r="K14" s="6">
        <v>480629656837.02386</v>
      </c>
      <c r="L14" s="6">
        <v>614841069626.63977</v>
      </c>
    </row>
    <row r="15" spans="1:14" x14ac:dyDescent="0.3">
      <c r="A15" s="4" t="s">
        <v>14</v>
      </c>
      <c r="B15" s="6">
        <v>2999755997184</v>
      </c>
      <c r="C15" s="6">
        <v>3719914061824</v>
      </c>
      <c r="D15" s="6">
        <v>3667292000000</v>
      </c>
      <c r="E15" s="6">
        <v>3088850000000</v>
      </c>
      <c r="F15" s="6">
        <v>2216699000000</v>
      </c>
      <c r="G15" s="6">
        <v>2495757000000</v>
      </c>
      <c r="H15" s="6">
        <v>4546936554100</v>
      </c>
      <c r="I15" s="6">
        <v>3157221800000</v>
      </c>
      <c r="J15" s="6">
        <v>2251814000000</v>
      </c>
      <c r="K15" s="6">
        <v>2126075000000</v>
      </c>
      <c r="L15" s="6">
        <v>3040664775590.1836</v>
      </c>
    </row>
    <row r="16" spans="1:14" x14ac:dyDescent="0.3">
      <c r="A16" s="4" t="s">
        <v>15</v>
      </c>
      <c r="B16" s="6">
        <v>200999993344</v>
      </c>
      <c r="C16" s="6">
        <v>130000003072</v>
      </c>
      <c r="D16" s="6">
        <v>90694000000</v>
      </c>
      <c r="E16" s="6">
        <v>106540000000</v>
      </c>
      <c r="F16" s="6">
        <v>156595000000</v>
      </c>
      <c r="G16" s="6">
        <v>91746000000</v>
      </c>
      <c r="H16" s="6">
        <v>154043843900</v>
      </c>
      <c r="I16" s="6">
        <v>125203850000</v>
      </c>
      <c r="J16" s="6">
        <v>126258430000</v>
      </c>
      <c r="K16" s="6">
        <v>103136570000</v>
      </c>
      <c r="L16" s="6">
        <v>122531870000</v>
      </c>
    </row>
    <row r="17" spans="1:12" x14ac:dyDescent="0.3">
      <c r="A17" s="4" t="s">
        <v>16</v>
      </c>
      <c r="B17" s="6">
        <v>181875998720</v>
      </c>
      <c r="C17" s="6">
        <v>283251015680</v>
      </c>
      <c r="D17" s="6">
        <v>356481000000</v>
      </c>
      <c r="E17" s="6">
        <v>378721000000</v>
      </c>
      <c r="F17" s="6">
        <v>468736000000</v>
      </c>
      <c r="G17" s="6">
        <v>603182000000</v>
      </c>
      <c r="H17" s="6">
        <v>695209000000</v>
      </c>
      <c r="I17" s="6">
        <v>640456300000</v>
      </c>
      <c r="J17" s="6">
        <v>458221000000</v>
      </c>
      <c r="K17" s="6">
        <v>401464600000</v>
      </c>
      <c r="L17" s="6">
        <v>488647361251.26141</v>
      </c>
    </row>
    <row r="18" spans="1:12" x14ac:dyDescent="0.3">
      <c r="A18" s="4" t="s">
        <v>17</v>
      </c>
      <c r="B18" s="6">
        <v>25596999680</v>
      </c>
      <c r="C18" s="6">
        <v>27217000448</v>
      </c>
      <c r="D18" s="6">
        <v>31950000000</v>
      </c>
      <c r="E18" s="6">
        <v>38641000000</v>
      </c>
      <c r="F18" s="6">
        <v>30511200000</v>
      </c>
      <c r="G18" s="6">
        <v>25027898500</v>
      </c>
      <c r="H18" s="6">
        <v>28106389630</v>
      </c>
      <c r="I18" s="6">
        <v>18865524600</v>
      </c>
      <c r="J18" s="6">
        <v>17778888194.878201</v>
      </c>
      <c r="K18" s="6">
        <v>21745043678.401424</v>
      </c>
      <c r="L18" s="6">
        <v>33051871306.631649</v>
      </c>
    </row>
    <row r="19" spans="1:12" x14ac:dyDescent="0.3">
      <c r="A19" s="4" t="s">
        <v>18</v>
      </c>
      <c r="B19" s="6">
        <v>27380000768</v>
      </c>
      <c r="C19" s="6">
        <v>36468998144</v>
      </c>
      <c r="D19" s="6">
        <v>44587000000</v>
      </c>
      <c r="E19" s="6">
        <v>57423000000</v>
      </c>
      <c r="F19" s="6">
        <v>66503000000</v>
      </c>
      <c r="G19" s="6">
        <v>46944000000</v>
      </c>
      <c r="H19" s="6">
        <v>63696000000</v>
      </c>
      <c r="I19" s="6">
        <v>65034350000</v>
      </c>
      <c r="J19" s="6">
        <v>69054000000</v>
      </c>
      <c r="K19" s="6">
        <v>67300000000</v>
      </c>
      <c r="L19" s="6">
        <v>94678931750.741837</v>
      </c>
    </row>
    <row r="20" spans="1:12" x14ac:dyDescent="0.3">
      <c r="A20" s="4" t="s">
        <v>19</v>
      </c>
      <c r="B20" s="6">
        <v>12417000448</v>
      </c>
      <c r="C20" s="6">
        <v>16248999936</v>
      </c>
      <c r="D20" s="6">
        <v>18362000000</v>
      </c>
      <c r="E20" s="6">
        <v>24660000000</v>
      </c>
      <c r="F20" s="6">
        <v>38954000000</v>
      </c>
      <c r="G20" s="6">
        <v>62954000000</v>
      </c>
      <c r="H20" s="6">
        <v>66488103000</v>
      </c>
      <c r="I20" s="6">
        <v>60680500000</v>
      </c>
      <c r="J20" s="6">
        <v>46338000000</v>
      </c>
      <c r="K20" s="6">
        <v>42845830000</v>
      </c>
      <c r="L20" s="6">
        <v>58284737260.343094</v>
      </c>
    </row>
    <row r="21" spans="1:12" x14ac:dyDescent="0.3">
      <c r="A21" s="4" t="s">
        <v>20</v>
      </c>
      <c r="B21" s="6">
        <v>119264002048</v>
      </c>
      <c r="C21" s="6">
        <v>154857996288</v>
      </c>
      <c r="D21" s="6">
        <v>197788000000</v>
      </c>
      <c r="E21" s="6">
        <v>242779000000</v>
      </c>
      <c r="F21" s="6">
        <v>290383000000</v>
      </c>
      <c r="G21" s="6">
        <v>402180000000</v>
      </c>
      <c r="H21" s="6">
        <v>431668200000</v>
      </c>
      <c r="I21" s="6">
        <v>504219300000</v>
      </c>
      <c r="J21" s="6">
        <v>468203000000</v>
      </c>
      <c r="K21" s="6">
        <v>464998425857.90747</v>
      </c>
      <c r="L21" s="6">
        <v>726243365287.58838</v>
      </c>
    </row>
    <row r="22" spans="1:12" x14ac:dyDescent="0.3">
      <c r="A22" s="4" t="s">
        <v>21</v>
      </c>
      <c r="B22" s="6">
        <v>107376001024</v>
      </c>
      <c r="C22" s="6">
        <v>130939002880</v>
      </c>
      <c r="D22" s="6">
        <v>178049000000</v>
      </c>
      <c r="E22" s="6">
        <v>247217000000</v>
      </c>
      <c r="F22" s="6">
        <v>272730000000</v>
      </c>
      <c r="G22" s="6">
        <v>278707000000</v>
      </c>
      <c r="H22" s="6">
        <v>373277650000</v>
      </c>
      <c r="I22" s="6">
        <v>328339100000</v>
      </c>
      <c r="J22" s="6">
        <v>236514358847.25018</v>
      </c>
      <c r="K22" s="6">
        <v>179335320716.60565</v>
      </c>
      <c r="L22" s="6">
        <v>289877118396.7312</v>
      </c>
    </row>
    <row r="23" spans="1:12" x14ac:dyDescent="0.3">
      <c r="A23" s="4" t="s">
        <v>22</v>
      </c>
      <c r="B23" s="6">
        <v>271712993280</v>
      </c>
      <c r="C23" s="6">
        <v>284092006400</v>
      </c>
      <c r="D23" s="6">
        <v>433621000000</v>
      </c>
      <c r="E23" s="6">
        <v>402104000000</v>
      </c>
      <c r="F23" s="6">
        <v>575338000000</v>
      </c>
      <c r="G23" s="6">
        <v>689199000000</v>
      </c>
      <c r="H23" s="6">
        <v>693126757000</v>
      </c>
      <c r="I23" s="6">
        <v>792316000000</v>
      </c>
      <c r="J23" s="6">
        <v>625815485153.2854</v>
      </c>
      <c r="K23" s="6">
        <v>552549497360.23718</v>
      </c>
      <c r="L23" s="6">
        <v>726949345084.08801</v>
      </c>
    </row>
    <row r="24" spans="1:12" x14ac:dyDescent="0.3">
      <c r="A24" s="4" t="s">
        <v>23</v>
      </c>
      <c r="B24" s="6">
        <v>37499998208</v>
      </c>
      <c r="C24" s="6">
        <v>21600000000</v>
      </c>
      <c r="D24" s="6">
        <v>20772000000</v>
      </c>
      <c r="E24" s="6">
        <v>30020000000</v>
      </c>
      <c r="F24" s="6">
        <v>61090000000</v>
      </c>
      <c r="G24" s="6">
        <v>33646000000</v>
      </c>
      <c r="H24" s="6">
        <v>112715842300</v>
      </c>
      <c r="I24" s="6">
        <v>69658920000</v>
      </c>
      <c r="J24" s="6">
        <v>47149860000</v>
      </c>
      <c r="K24" s="6">
        <v>33957980000.000004</v>
      </c>
      <c r="L24" s="6">
        <v>68379200000</v>
      </c>
    </row>
    <row r="25" spans="1:12" x14ac:dyDescent="0.3">
      <c r="A25" s="4" t="s">
        <v>24</v>
      </c>
      <c r="B25" s="6">
        <v>1151646040064</v>
      </c>
      <c r="C25" s="6">
        <v>1210245054464</v>
      </c>
      <c r="D25" s="6">
        <v>1407737000000</v>
      </c>
      <c r="E25" s="6">
        <v>1740246000000</v>
      </c>
      <c r="F25" s="6">
        <v>1996225000000</v>
      </c>
      <c r="G25" s="6">
        <v>2374273000000</v>
      </c>
      <c r="H25" s="6">
        <v>2933279600000</v>
      </c>
      <c r="I25" s="6">
        <v>2576991900000</v>
      </c>
      <c r="J25" s="6">
        <v>2164716198515.5</v>
      </c>
      <c r="K25" s="6">
        <v>1864262218287.186</v>
      </c>
      <c r="L25" s="6">
        <v>2460063963480.1289</v>
      </c>
    </row>
    <row r="26" spans="1:12" x14ac:dyDescent="0.3">
      <c r="A26" s="4" t="s">
        <v>25</v>
      </c>
      <c r="B26" s="6">
        <v>5136198926336</v>
      </c>
      <c r="C26" s="6">
        <v>5067015979008</v>
      </c>
      <c r="D26" s="6">
        <v>6857622000000</v>
      </c>
      <c r="E26" s="6">
        <v>8484433000000</v>
      </c>
      <c r="F26" s="6">
        <v>11308779000000</v>
      </c>
      <c r="G26" s="6">
        <v>13451352000000</v>
      </c>
      <c r="H26" s="6">
        <v>16635114000000</v>
      </c>
      <c r="I26" s="6">
        <v>15104037000000</v>
      </c>
      <c r="J26" s="6">
        <v>13854616194000</v>
      </c>
      <c r="K26" s="6">
        <v>11098101530000</v>
      </c>
      <c r="L26" s="6">
        <v>14266265700000</v>
      </c>
    </row>
    <row r="27" spans="1:12" x14ac:dyDescent="0.3">
      <c r="A27" s="1"/>
    </row>
    <row r="28" spans="1:12" x14ac:dyDescent="0.3">
      <c r="A28" s="1"/>
    </row>
    <row r="29" spans="1:12" x14ac:dyDescent="0.3">
      <c r="A29" s="1"/>
      <c r="B29">
        <f>B3/1000000</f>
        <v>204866.02752</v>
      </c>
    </row>
    <row r="30" spans="1:12" x14ac:dyDescent="0.3">
      <c r="A30" s="1"/>
    </row>
    <row r="31" spans="1:12" x14ac:dyDescent="0.3">
      <c r="A31" s="1"/>
    </row>
    <row r="32" spans="1:12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E7C5-42C8-46CC-8CC1-6BB47BA34C34}">
  <dimension ref="A1:M26"/>
  <sheetViews>
    <sheetView workbookViewId="0">
      <selection activeCell="O8" sqref="O8"/>
    </sheetView>
  </sheetViews>
  <sheetFormatPr defaultRowHeight="14.4" x14ac:dyDescent="0.3"/>
  <cols>
    <col min="1" max="1" width="13.5546875" bestFit="1" customWidth="1"/>
  </cols>
  <sheetData>
    <row r="1" spans="1:13" x14ac:dyDescent="0.3">
      <c r="A1" s="2" t="s">
        <v>0</v>
      </c>
      <c r="B1" s="7"/>
      <c r="C1" s="7"/>
      <c r="D1" s="7"/>
      <c r="E1" s="7" t="s">
        <v>30</v>
      </c>
      <c r="F1" s="7"/>
      <c r="G1" s="7"/>
      <c r="H1" s="7"/>
      <c r="I1" s="7"/>
      <c r="J1" s="7"/>
      <c r="K1" s="7"/>
      <c r="L1" s="7"/>
      <c r="M1" s="7"/>
    </row>
    <row r="2" spans="1:13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</row>
    <row r="3" spans="1:13" x14ac:dyDescent="0.3">
      <c r="A3" s="4" t="s">
        <v>2</v>
      </c>
      <c r="B3">
        <v>144.44800000000001</v>
      </c>
      <c r="C3">
        <v>224.785</v>
      </c>
      <c r="D3">
        <v>218.98</v>
      </c>
      <c r="E3">
        <v>247.714</v>
      </c>
      <c r="F3">
        <v>210.929</v>
      </c>
      <c r="G3">
        <v>211.066</v>
      </c>
      <c r="H3">
        <v>253.91399999999999</v>
      </c>
      <c r="I3">
        <v>215.42400000000001</v>
      </c>
      <c r="J3">
        <v>208.61500000000001</v>
      </c>
      <c r="K3">
        <v>250.74100000000001</v>
      </c>
      <c r="L3">
        <v>360.34</v>
      </c>
      <c r="M3">
        <v>418.55599999999998</v>
      </c>
    </row>
    <row r="4" spans="1:13" x14ac:dyDescent="0.3">
      <c r="A4" s="4" t="s">
        <v>3</v>
      </c>
      <c r="B4">
        <v>98.831000000000003</v>
      </c>
      <c r="C4">
        <v>120.721</v>
      </c>
      <c r="D4">
        <v>141.39699999999999</v>
      </c>
      <c r="E4">
        <v>138.98699999999999</v>
      </c>
      <c r="F4">
        <v>132.208</v>
      </c>
      <c r="G4">
        <v>142.202</v>
      </c>
      <c r="H4">
        <v>141.72</v>
      </c>
      <c r="I4">
        <v>140.47</v>
      </c>
      <c r="J4">
        <v>136.38200000000001</v>
      </c>
      <c r="K4">
        <v>167.09</v>
      </c>
      <c r="L4">
        <v>203.34200000000001</v>
      </c>
      <c r="M4">
        <v>226.42099999999999</v>
      </c>
    </row>
    <row r="5" spans="1:13" x14ac:dyDescent="0.3">
      <c r="A5" s="4" t="s">
        <v>4</v>
      </c>
      <c r="B5">
        <v>310.48599999999999</v>
      </c>
      <c r="C5">
        <v>384.59199999999998</v>
      </c>
      <c r="D5">
        <v>435.52800000000002</v>
      </c>
      <c r="E5">
        <v>428.65800000000002</v>
      </c>
      <c r="F5">
        <v>374.26</v>
      </c>
      <c r="G5">
        <v>396.15600000000001</v>
      </c>
      <c r="H5">
        <v>333.44600000000003</v>
      </c>
      <c r="I5">
        <v>310.11799999999999</v>
      </c>
      <c r="J5">
        <v>283.74</v>
      </c>
      <c r="K5">
        <v>333.28800000000001</v>
      </c>
      <c r="L5">
        <v>379.43400000000003</v>
      </c>
      <c r="M5">
        <v>388.95299999999997</v>
      </c>
    </row>
    <row r="6" spans="1:13" x14ac:dyDescent="0.3">
      <c r="A6" s="4" t="s">
        <v>5</v>
      </c>
      <c r="B6">
        <v>539.31500000000005</v>
      </c>
      <c r="C6">
        <v>532.69799999999998</v>
      </c>
      <c r="D6">
        <v>581.024</v>
      </c>
      <c r="E6">
        <v>595.36300000000006</v>
      </c>
      <c r="F6">
        <v>603.82000000000005</v>
      </c>
      <c r="G6">
        <v>581.54399999999998</v>
      </c>
      <c r="H6">
        <v>661.66899999999998</v>
      </c>
      <c r="I6">
        <v>662.26800000000003</v>
      </c>
      <c r="J6">
        <v>636.23699999999997</v>
      </c>
      <c r="K6">
        <v>652.51199999999994</v>
      </c>
      <c r="L6">
        <v>812.89300000000003</v>
      </c>
      <c r="M6">
        <v>904.98800000000006</v>
      </c>
    </row>
    <row r="7" spans="1:13" x14ac:dyDescent="0.3">
      <c r="A7" s="4" t="s">
        <v>6</v>
      </c>
      <c r="B7">
        <v>228.87700000000001</v>
      </c>
      <c r="C7">
        <v>251.48699999999999</v>
      </c>
      <c r="D7">
        <v>287.81200000000001</v>
      </c>
      <c r="E7">
        <v>279.75</v>
      </c>
      <c r="F7">
        <v>253.81200000000001</v>
      </c>
      <c r="G7">
        <v>282.92599999999999</v>
      </c>
      <c r="H7">
        <v>260.32799999999997</v>
      </c>
      <c r="I7">
        <v>249.155</v>
      </c>
      <c r="J7">
        <v>262.2</v>
      </c>
      <c r="K7">
        <v>341.30099999999999</v>
      </c>
      <c r="L7">
        <v>426.96300000000002</v>
      </c>
      <c r="M7">
        <v>527.61099999999999</v>
      </c>
    </row>
    <row r="8" spans="1:13" x14ac:dyDescent="0.3">
      <c r="A8" s="4" t="s">
        <v>7</v>
      </c>
      <c r="B8">
        <v>61.430999999999997</v>
      </c>
      <c r="C8">
        <v>70.524000000000001</v>
      </c>
      <c r="D8">
        <v>76.394999999999996</v>
      </c>
      <c r="E8">
        <v>77.52</v>
      </c>
      <c r="F8">
        <v>75.847999999999999</v>
      </c>
      <c r="G8">
        <v>87.323999999999998</v>
      </c>
      <c r="H8">
        <v>74.153999999999996</v>
      </c>
      <c r="I8">
        <v>62.4</v>
      </c>
      <c r="J8">
        <v>55.951999999999998</v>
      </c>
      <c r="K8">
        <v>63.412999999999997</v>
      </c>
      <c r="L8">
        <v>68.316999999999993</v>
      </c>
      <c r="M8">
        <v>76.75</v>
      </c>
    </row>
    <row r="9" spans="1:13" x14ac:dyDescent="0.3">
      <c r="A9" s="4" t="s">
        <v>8</v>
      </c>
      <c r="B9">
        <v>1024.7660000000001</v>
      </c>
      <c r="C9">
        <v>1150.8409999999999</v>
      </c>
      <c r="D9">
        <v>1269.1600000000001</v>
      </c>
      <c r="E9">
        <v>1260.5170000000001</v>
      </c>
      <c r="F9">
        <v>1131.181</v>
      </c>
      <c r="G9">
        <v>1235.511</v>
      </c>
      <c r="H9">
        <v>1105.973</v>
      </c>
      <c r="I9">
        <v>1071.9359999999999</v>
      </c>
      <c r="J9">
        <v>1076.914</v>
      </c>
      <c r="K9">
        <v>1362.5909999999999</v>
      </c>
      <c r="L9">
        <v>1780.01</v>
      </c>
      <c r="M9">
        <v>2051.9490000000001</v>
      </c>
    </row>
    <row r="10" spans="1:13" x14ac:dyDescent="0.3">
      <c r="A10" s="4" t="s">
        <v>9</v>
      </c>
      <c r="B10">
        <v>1382.422</v>
      </c>
      <c r="C10">
        <v>1678.7339999999999</v>
      </c>
      <c r="D10">
        <v>1922.479</v>
      </c>
      <c r="E10">
        <v>1888.021</v>
      </c>
      <c r="F10">
        <v>1743.127</v>
      </c>
      <c r="G10">
        <v>2011.5989999999999</v>
      </c>
      <c r="H10">
        <v>1813.144</v>
      </c>
      <c r="I10">
        <v>1715.9190000000001</v>
      </c>
      <c r="J10">
        <v>1503.2370000000001</v>
      </c>
      <c r="K10">
        <v>1761.518</v>
      </c>
      <c r="L10">
        <v>2116.5189999999998</v>
      </c>
      <c r="M10">
        <v>2257.627</v>
      </c>
    </row>
    <row r="11" spans="1:13" x14ac:dyDescent="0.3">
      <c r="A11" s="4" t="s">
        <v>10</v>
      </c>
      <c r="B11">
        <v>60.865000000000002</v>
      </c>
      <c r="C11">
        <v>73.397999999999996</v>
      </c>
      <c r="D11">
        <v>86.608000000000004</v>
      </c>
      <c r="E11">
        <v>100.458</v>
      </c>
      <c r="F11">
        <v>94.807000000000002</v>
      </c>
      <c r="G11">
        <v>100.48</v>
      </c>
      <c r="H11">
        <v>89.798000000000002</v>
      </c>
      <c r="I11">
        <v>86.966999999999999</v>
      </c>
      <c r="J11">
        <v>84.950999999999993</v>
      </c>
      <c r="K11">
        <v>102.846</v>
      </c>
      <c r="L11">
        <v>132.149</v>
      </c>
      <c r="M11">
        <v>158.04599999999999</v>
      </c>
    </row>
    <row r="12" spans="1:13" x14ac:dyDescent="0.3">
      <c r="A12" s="4" t="s">
        <v>11</v>
      </c>
      <c r="B12">
        <v>2.3929999999999998</v>
      </c>
      <c r="C12">
        <v>3.04</v>
      </c>
      <c r="D12">
        <v>3.581</v>
      </c>
      <c r="E12">
        <v>4.008</v>
      </c>
      <c r="F12">
        <v>4.4320000000000004</v>
      </c>
      <c r="G12">
        <v>5.4489999999999998</v>
      </c>
      <c r="H12">
        <v>6.0940000000000003</v>
      </c>
      <c r="I12">
        <v>6.5209999999999999</v>
      </c>
      <c r="J12">
        <v>6.4240000000000004</v>
      </c>
      <c r="K12">
        <v>8.9589999999999996</v>
      </c>
      <c r="L12">
        <v>15.707000000000001</v>
      </c>
      <c r="M12">
        <v>28.791</v>
      </c>
    </row>
    <row r="13" spans="1:13" x14ac:dyDescent="0.3">
      <c r="A13" s="4" t="s">
        <v>12</v>
      </c>
      <c r="B13">
        <v>23.408000000000001</v>
      </c>
      <c r="C13">
        <v>25.683</v>
      </c>
      <c r="D13">
        <v>28.225000000000001</v>
      </c>
      <c r="E13">
        <v>30.568999999999999</v>
      </c>
      <c r="F13">
        <v>29.498000000000001</v>
      </c>
      <c r="G13">
        <v>31.027999999999999</v>
      </c>
      <c r="H13">
        <v>31.645</v>
      </c>
      <c r="I13">
        <v>30.986000000000001</v>
      </c>
      <c r="J13">
        <v>28.466000000000001</v>
      </c>
      <c r="K13">
        <v>38.067999999999998</v>
      </c>
      <c r="L13">
        <v>117.208</v>
      </c>
      <c r="M13">
        <v>187.99299999999999</v>
      </c>
    </row>
    <row r="14" spans="1:13" x14ac:dyDescent="0.3">
      <c r="A14" s="4" t="s">
        <v>13</v>
      </c>
      <c r="B14">
        <v>1188.8130000000001</v>
      </c>
      <c r="C14">
        <v>1399.634</v>
      </c>
      <c r="D14">
        <v>1523.6849999999999</v>
      </c>
      <c r="E14">
        <v>1687.3430000000001</v>
      </c>
      <c r="F14">
        <v>1470.4639999999999</v>
      </c>
      <c r="G14">
        <v>1576.415</v>
      </c>
      <c r="H14">
        <v>1399.37</v>
      </c>
      <c r="I14">
        <v>1285.491</v>
      </c>
      <c r="J14">
        <v>1291.039</v>
      </c>
      <c r="K14">
        <v>1592.7929999999999</v>
      </c>
      <c r="L14">
        <v>1982.259</v>
      </c>
      <c r="M14">
        <v>2190.9989999999998</v>
      </c>
    </row>
    <row r="15" spans="1:13" x14ac:dyDescent="0.3">
      <c r="A15" s="4" t="s">
        <v>14</v>
      </c>
      <c r="B15">
        <v>3766.1930000000002</v>
      </c>
      <c r="C15">
        <v>4479.3620000000001</v>
      </c>
      <c r="D15">
        <v>4648.5569999999998</v>
      </c>
      <c r="E15">
        <v>4455.5739999999996</v>
      </c>
      <c r="F15">
        <v>4148.5479999999998</v>
      </c>
      <c r="G15">
        <v>4854.9769999999999</v>
      </c>
      <c r="H15">
        <v>6004.2740000000003</v>
      </c>
      <c r="I15">
        <v>5701.9470000000001</v>
      </c>
      <c r="J15">
        <v>5478.8959999999997</v>
      </c>
      <c r="K15">
        <v>6372.4679999999998</v>
      </c>
      <c r="L15">
        <v>7818.1790000000001</v>
      </c>
      <c r="M15">
        <v>8858.0689999999995</v>
      </c>
    </row>
    <row r="16" spans="1:13" x14ac:dyDescent="0.3">
      <c r="A16" s="4" t="s">
        <v>15</v>
      </c>
      <c r="B16">
        <v>48.472000000000001</v>
      </c>
      <c r="C16">
        <v>36.314999999999998</v>
      </c>
      <c r="D16">
        <v>21.126999999999999</v>
      </c>
      <c r="E16">
        <v>27.783000000000001</v>
      </c>
      <c r="F16">
        <v>39.917000000000002</v>
      </c>
      <c r="G16">
        <v>59.475000000000001</v>
      </c>
      <c r="H16">
        <v>118.866</v>
      </c>
      <c r="I16">
        <v>128.12200000000001</v>
      </c>
      <c r="J16">
        <v>167.90799999999999</v>
      </c>
      <c r="K16">
        <v>181.97200000000001</v>
      </c>
      <c r="L16">
        <v>195.678</v>
      </c>
      <c r="M16">
        <v>220.58799999999999</v>
      </c>
    </row>
    <row r="17" spans="1:13" x14ac:dyDescent="0.3">
      <c r="A17" s="4" t="s">
        <v>16</v>
      </c>
      <c r="B17">
        <v>225.76900000000001</v>
      </c>
      <c r="C17">
        <v>273.702</v>
      </c>
      <c r="D17">
        <v>328.06</v>
      </c>
      <c r="E17">
        <v>321.916</v>
      </c>
      <c r="F17">
        <v>304.52199999999999</v>
      </c>
      <c r="G17">
        <v>344.00099999999998</v>
      </c>
      <c r="H17">
        <v>348.05099999999999</v>
      </c>
      <c r="I17">
        <v>352.23700000000002</v>
      </c>
      <c r="J17">
        <v>364.09</v>
      </c>
      <c r="K17">
        <v>447.56099999999998</v>
      </c>
      <c r="L17">
        <v>589.15300000000002</v>
      </c>
      <c r="M17">
        <v>692.73099999999999</v>
      </c>
    </row>
    <row r="18" spans="1:13" x14ac:dyDescent="0.3">
      <c r="A18" s="4" t="s">
        <v>17</v>
      </c>
      <c r="B18">
        <v>15.555999999999999</v>
      </c>
      <c r="C18">
        <v>19.218</v>
      </c>
      <c r="D18">
        <v>19.768000000000001</v>
      </c>
      <c r="E18">
        <v>21.850999999999999</v>
      </c>
      <c r="F18">
        <v>17.306000000000001</v>
      </c>
      <c r="G18">
        <v>16.414999999999999</v>
      </c>
      <c r="H18">
        <v>16.623999999999999</v>
      </c>
      <c r="I18">
        <v>14.228</v>
      </c>
      <c r="J18">
        <v>13.814</v>
      </c>
      <c r="K18">
        <v>18.352</v>
      </c>
      <c r="L18">
        <v>23.62</v>
      </c>
      <c r="M18">
        <v>24.731000000000002</v>
      </c>
    </row>
    <row r="19" spans="1:13" x14ac:dyDescent="0.3">
      <c r="A19" s="4" t="s">
        <v>18</v>
      </c>
      <c r="B19">
        <v>48.484000000000002</v>
      </c>
      <c r="C19">
        <v>54.021999999999998</v>
      </c>
      <c r="D19">
        <v>67.728999999999999</v>
      </c>
      <c r="E19">
        <v>69.995999999999995</v>
      </c>
      <c r="F19">
        <v>67.638000000000005</v>
      </c>
      <c r="G19">
        <v>64.918999999999997</v>
      </c>
      <c r="H19">
        <v>61.256999999999998</v>
      </c>
      <c r="I19">
        <v>58.052999999999997</v>
      </c>
      <c r="J19">
        <v>58.685000000000002</v>
      </c>
      <c r="K19">
        <v>84.244</v>
      </c>
      <c r="L19">
        <v>97.972999999999999</v>
      </c>
      <c r="M19">
        <v>110.417</v>
      </c>
    </row>
    <row r="20" spans="1:13" x14ac:dyDescent="0.3">
      <c r="A20" s="4" t="s">
        <v>19</v>
      </c>
      <c r="B20">
        <v>42.341999999999999</v>
      </c>
      <c r="C20">
        <v>50.433</v>
      </c>
      <c r="D20">
        <v>58.847000000000001</v>
      </c>
      <c r="E20">
        <v>62.34</v>
      </c>
      <c r="F20">
        <v>55.357999999999997</v>
      </c>
      <c r="G20">
        <v>64.188999999999993</v>
      </c>
      <c r="H20">
        <v>62.021999999999998</v>
      </c>
      <c r="I20">
        <v>59.493000000000002</v>
      </c>
      <c r="J20">
        <v>61.459000000000003</v>
      </c>
      <c r="K20">
        <v>80.084000000000003</v>
      </c>
      <c r="L20">
        <v>101.746</v>
      </c>
      <c r="M20">
        <v>121.82599999999999</v>
      </c>
    </row>
    <row r="21" spans="1:13" x14ac:dyDescent="0.3">
      <c r="A21" s="4" t="s">
        <v>20</v>
      </c>
      <c r="B21">
        <v>248.643</v>
      </c>
      <c r="C21">
        <v>289.81799999999998</v>
      </c>
      <c r="D21">
        <v>336.23399999999998</v>
      </c>
      <c r="E21">
        <v>353.89600000000002</v>
      </c>
      <c r="F21">
        <v>329.01900000000001</v>
      </c>
      <c r="G21">
        <v>361.19900000000001</v>
      </c>
      <c r="H21">
        <v>354.55099999999999</v>
      </c>
      <c r="I21">
        <v>333.46100000000001</v>
      </c>
      <c r="J21">
        <v>332.46</v>
      </c>
      <c r="K21">
        <v>426.024</v>
      </c>
      <c r="L21">
        <v>578.346</v>
      </c>
      <c r="M21">
        <v>754.00599999999997</v>
      </c>
    </row>
    <row r="22" spans="1:13" x14ac:dyDescent="0.3">
      <c r="A22" s="4" t="s">
        <v>21</v>
      </c>
      <c r="B22">
        <v>195.251</v>
      </c>
      <c r="C22">
        <v>228.08600000000001</v>
      </c>
      <c r="D22">
        <v>270.505</v>
      </c>
      <c r="E22">
        <v>280.666</v>
      </c>
      <c r="F22">
        <v>240.81299999999999</v>
      </c>
      <c r="G22">
        <v>249.79400000000001</v>
      </c>
      <c r="H22">
        <v>237.79900000000001</v>
      </c>
      <c r="I22">
        <v>197.14500000000001</v>
      </c>
      <c r="J22">
        <v>164.74</v>
      </c>
      <c r="K22">
        <v>211.11</v>
      </c>
      <c r="L22">
        <v>278.077</v>
      </c>
      <c r="M22">
        <v>314.358</v>
      </c>
    </row>
    <row r="23" spans="1:13" x14ac:dyDescent="0.3">
      <c r="A23" s="4" t="s">
        <v>22</v>
      </c>
      <c r="B23">
        <v>170.292</v>
      </c>
      <c r="C23">
        <v>192.833</v>
      </c>
      <c r="D23">
        <v>225.06299999999999</v>
      </c>
      <c r="E23">
        <v>186.779</v>
      </c>
      <c r="F23">
        <v>170.23099999999999</v>
      </c>
      <c r="G23">
        <v>185.19200000000001</v>
      </c>
      <c r="H23">
        <v>164.042</v>
      </c>
      <c r="I23">
        <v>157.708</v>
      </c>
      <c r="J23">
        <v>153.821</v>
      </c>
      <c r="K23">
        <v>201.48099999999999</v>
      </c>
      <c r="L23">
        <v>223.14599999999999</v>
      </c>
      <c r="M23">
        <v>259.41399999999999</v>
      </c>
    </row>
    <row r="24" spans="1:13" x14ac:dyDescent="0.3">
      <c r="A24" s="4" t="s">
        <v>23</v>
      </c>
      <c r="B24">
        <v>21.39</v>
      </c>
      <c r="C24">
        <v>15.997</v>
      </c>
      <c r="D24">
        <v>21.341000000000001</v>
      </c>
      <c r="E24">
        <v>26.56</v>
      </c>
      <c r="F24">
        <v>29.728999999999999</v>
      </c>
      <c r="G24">
        <v>37.531999999999996</v>
      </c>
      <c r="H24">
        <v>43.046999999999997</v>
      </c>
      <c r="I24">
        <v>54.652999999999999</v>
      </c>
      <c r="J24">
        <v>84.742999999999995</v>
      </c>
      <c r="K24">
        <v>91.828999999999994</v>
      </c>
      <c r="L24">
        <v>140.34</v>
      </c>
      <c r="M24">
        <v>169.77600000000001</v>
      </c>
    </row>
    <row r="25" spans="1:13" x14ac:dyDescent="0.3">
      <c r="A25" s="4" t="s">
        <v>24</v>
      </c>
      <c r="B25">
        <v>420.262</v>
      </c>
      <c r="C25">
        <v>497.036</v>
      </c>
      <c r="D25">
        <v>564.58699999999999</v>
      </c>
      <c r="E25">
        <v>678.20899999999995</v>
      </c>
      <c r="F25">
        <v>701.40099999999995</v>
      </c>
      <c r="G25">
        <v>734.48299999999995</v>
      </c>
      <c r="H25">
        <v>760.63300000000004</v>
      </c>
      <c r="I25">
        <v>688.27</v>
      </c>
      <c r="J25">
        <v>670.03899999999999</v>
      </c>
      <c r="K25">
        <v>764.149</v>
      </c>
      <c r="L25">
        <v>827.12599999999998</v>
      </c>
      <c r="M25">
        <v>1040.8399999999999</v>
      </c>
    </row>
    <row r="26" spans="1:13" x14ac:dyDescent="0.3">
      <c r="A26" s="4" t="s">
        <v>25</v>
      </c>
      <c r="B26">
        <v>8972.3330000000005</v>
      </c>
      <c r="C26">
        <v>9535.3889999999992</v>
      </c>
      <c r="D26">
        <v>10209.126</v>
      </c>
      <c r="E26">
        <v>10926.484</v>
      </c>
      <c r="F26">
        <v>11604.619000000001</v>
      </c>
      <c r="G26">
        <v>12515.537</v>
      </c>
      <c r="H26">
        <v>13396.953</v>
      </c>
      <c r="I26">
        <v>13736.218999999999</v>
      </c>
      <c r="J26">
        <v>14577.249</v>
      </c>
      <c r="K26">
        <v>15531.253000000001</v>
      </c>
      <c r="L26">
        <v>16709.214</v>
      </c>
      <c r="M26">
        <v>18976.266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Equity_Home_Bias</vt:lpstr>
      <vt:lpstr>Debt_Home_Bias</vt:lpstr>
      <vt:lpstr>Portfolio equity assets </vt:lpstr>
      <vt:lpstr>Portfolio debt assets </vt:lpstr>
      <vt:lpstr>Portfolio equity liabilities </vt:lpstr>
      <vt:lpstr>Portfolio debt liabilities </vt:lpstr>
      <vt:lpstr>Market Cap</vt:lpstr>
      <vt:lpstr>Domestic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Ismail</dc:creator>
  <cp:lastModifiedBy>omar Ismail</cp:lastModifiedBy>
  <dcterms:created xsi:type="dcterms:W3CDTF">2024-07-28T09:58:18Z</dcterms:created>
  <dcterms:modified xsi:type="dcterms:W3CDTF">2024-07-30T14:37:11Z</dcterms:modified>
</cp:coreProperties>
</file>