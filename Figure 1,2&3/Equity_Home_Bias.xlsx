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cs\International macroeconomics\Term Paper\Figure 1 , 2 &amp; 3\"/>
    </mc:Choice>
  </mc:AlternateContent>
  <xr:revisionPtr revIDLastSave="0" documentId="13_ncr:1_{365AD55F-4483-47F9-BA87-5EF3607EA67C}" xr6:coauthVersionLast="47" xr6:coauthVersionMax="47" xr10:uidLastSave="{00000000-0000-0000-0000-000000000000}"/>
  <bookViews>
    <workbookView xWindow="-108" yWindow="-108" windowWidth="23256" windowHeight="12576" xr2:uid="{D70BBE0F-D6BB-426C-8369-A4C26B2AC29B}"/>
  </bookViews>
  <sheets>
    <sheet name="Equity Home Bias" sheetId="12" r:id="rId1"/>
    <sheet name="Portfolio equity assets " sheetId="1" r:id="rId2"/>
    <sheet name="Portfolio equity liabilities " sheetId="4" r:id="rId3"/>
    <sheet name="Market Cap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2" l="1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C3" i="12"/>
  <c r="C26" i="12" s="1"/>
  <c r="D3" i="12"/>
  <c r="D26" i="12" s="1"/>
  <c r="E3" i="12"/>
  <c r="E26" i="12" s="1"/>
  <c r="F3" i="12"/>
  <c r="F26" i="12" s="1"/>
  <c r="G3" i="12"/>
  <c r="G26" i="12" s="1"/>
  <c r="H3" i="12"/>
  <c r="H26" i="12" s="1"/>
  <c r="I3" i="12"/>
  <c r="I26" i="12" s="1"/>
  <c r="J3" i="12"/>
  <c r="J26" i="12" s="1"/>
  <c r="K3" i="12"/>
  <c r="K26" i="12" s="1"/>
  <c r="L3" i="12"/>
  <c r="L26" i="12" s="1"/>
  <c r="M3" i="12"/>
  <c r="M26" i="12" s="1"/>
  <c r="N3" i="12"/>
  <c r="N26" i="12" s="1"/>
  <c r="O3" i="12"/>
  <c r="O26" i="12" s="1"/>
  <c r="P3" i="12"/>
  <c r="P26" i="12" s="1"/>
  <c r="Q3" i="12"/>
  <c r="Q26" i="12" s="1"/>
  <c r="R3" i="12"/>
  <c r="R26" i="12" s="1"/>
  <c r="S3" i="12"/>
  <c r="S26" i="12" s="1"/>
  <c r="B3" i="12"/>
  <c r="B26" i="12" s="1"/>
  <c r="B29" i="7"/>
</calcChain>
</file>

<file path=xl/sharedStrings.xml><?xml version="1.0" encoding="utf-8"?>
<sst xmlns="http://schemas.openxmlformats.org/spreadsheetml/2006/main" count="107" uniqueCount="30">
  <si>
    <t>Country</t>
  </si>
  <si>
    <t>Year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</si>
  <si>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</si>
  <si>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</si>
  <si>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</si>
  <si>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</si>
  <si>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</si>
  <si>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</si>
  <si>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</si>
  <si>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</si>
  <si>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</si>
  <si>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</si>
  <si>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</si>
  <si>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</si>
  <si>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</si>
  <si>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</si>
  <si>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</si>
  <si>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</si>
  <si>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</si>
  <si>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</si>
  <si>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</si>
  <si>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</si>
  <si>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</si>
  <si>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</si>
  <si>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</si>
  <si>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United States</t>
  </si>
  <si>
    <t xml:space="preserve">Portfolio equity assets  </t>
  </si>
  <si>
    <t xml:space="preserve">Portfolio equity liabilities </t>
  </si>
  <si>
    <t>Average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</si>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</sst>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,,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A7BD-A6E8-480A-88BC-CDC0651E9881}">
  <dimension ref="A1:S26"/>
  <sheetViews>
    <sheetView tabSelected="1" topLeftCell="A2" workbookViewId="0">
      <selection activeCell="H16" sqref="H16"/>
    </sheetView>
  </sheetViews>
  <sheetFormatPr defaultRowHeight="14.4" x14ac:dyDescent="0.3"/>
  <cols>
    <col min="1" max="1" width="14.33203125" customWidth="1"/>
  </cols>
  <sheetData>
    <row r="1" spans="1:19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26</v>
      </c>
      <c r="L1" s="5"/>
      <c r="M1" s="5"/>
      <c r="N1" s="5"/>
      <c r="O1" s="5"/>
      <c r="P1" s="5"/>
      <c r="Q1" s="5"/>
      <c r="R1" s="5"/>
      <c r="S1" s="5"/>
    </row>
    <row r="2" spans="1:19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</row>
    <row r="3" spans="1:19" x14ac:dyDescent="0.3">
      <c r="A3" s="4" t="s">
        <v>2</v>
      </c>
      <c r="B3">
        <f>1-('Portfolio equity assets '!B3)/('Portfolio equity assets '!B3+('Market Cap'!B3/1000000)-'Portfolio equity liabilities '!B3)</f>
        <v>0.88698561013883381</v>
      </c>
      <c r="C3">
        <f>1-('Portfolio equity assets '!C3)/('Portfolio equity assets '!C3+('Market Cap'!C3/1000000)-'Portfolio equity liabilities '!C3)</f>
        <v>0.88375702681929658</v>
      </c>
      <c r="D3">
        <f>1-('Portfolio equity assets '!D3)/('Portfolio equity assets '!D3+('Market Cap'!D3/1000000)-'Portfolio equity liabilities '!D3)</f>
        <v>0.87706348443072712</v>
      </c>
      <c r="E3">
        <f>1-('Portfolio equity assets '!E3)/('Portfolio equity assets '!E3+('Market Cap'!E3/1000000)-'Portfolio equity liabilities '!E3)</f>
        <v>0.88785598074098482</v>
      </c>
      <c r="F3">
        <f>1-('Portfolio equity assets '!F3)/('Portfolio equity assets '!F3+('Market Cap'!F3/1000000)-'Portfolio equity liabilities '!F3)</f>
        <v>0.87682665911413482</v>
      </c>
      <c r="G3">
        <f>1-('Portfolio equity assets '!G3)/('Portfolio equity assets '!G3+('Market Cap'!G3/1000000)-'Portfolio equity liabilities '!G3)</f>
        <v>0.87433863555948799</v>
      </c>
      <c r="H3">
        <f>1-('Portfolio equity assets '!H3)/('Portfolio equity assets '!H3+('Market Cap'!H3/1000000)-'Portfolio equity liabilities '!H3)</f>
        <v>0.85105261569947355</v>
      </c>
      <c r="I3">
        <f>1-('Portfolio equity assets '!I3)/('Portfolio equity assets '!I3+('Market Cap'!I3/1000000)-'Portfolio equity liabilities '!I3)</f>
        <v>0.82942896112605913</v>
      </c>
      <c r="J3">
        <f>1-('Portfolio equity assets '!J3)/('Portfolio equity assets '!J3+('Market Cap'!J3/1000000)-'Portfolio equity liabilities '!J3)</f>
        <v>0.8264517793411994</v>
      </c>
      <c r="K3">
        <f>1-('Portfolio equity assets '!K3)/('Portfolio equity assets '!K3+('Market Cap'!K3/1000000)-'Portfolio equity liabilities '!K3)</f>
        <v>0.81651315976829142</v>
      </c>
      <c r="L3">
        <f>1-('Portfolio equity assets '!L3)/('Portfolio equity assets '!L3+('Market Cap'!L3/1000000)-'Portfolio equity liabilities '!L3)</f>
        <v>0.82770468736675973</v>
      </c>
      <c r="M3">
        <f>1-('Portfolio equity assets '!M3)/('Portfolio equity assets '!M3+('Market Cap'!M3/1000000)-'Portfolio equity liabilities '!M3)</f>
        <v>0.84598782486233515</v>
      </c>
      <c r="N3">
        <f>1-('Portfolio equity assets '!N3)/('Portfolio equity assets '!N3+('Market Cap'!N3/1000000)-'Portfolio equity liabilities '!N3)</f>
        <v>0.81886502627413593</v>
      </c>
      <c r="O3">
        <f>1-('Portfolio equity assets '!O3)/('Portfolio equity assets '!O3+('Market Cap'!O3/1000000)-'Portfolio equity liabilities '!O3)</f>
        <v>0.81744479979889451</v>
      </c>
      <c r="P3">
        <f>1-('Portfolio equity assets '!P3)/('Portfolio equity assets '!P3+('Market Cap'!P3/1000000)-'Portfolio equity liabilities '!P3)</f>
        <v>0.78425029862923923</v>
      </c>
      <c r="Q3">
        <f>1-('Portfolio equity assets '!Q3)/('Portfolio equity assets '!Q3+('Market Cap'!Q3/1000000)-'Portfolio equity liabilities '!Q3)</f>
        <v>0.75723594192916066</v>
      </c>
      <c r="R3">
        <f>1-('Portfolio equity assets '!R3)/('Portfolio equity assets '!R3+('Market Cap'!R3/1000000)-'Portfolio equity liabilities '!R3)</f>
        <v>0.7903150522395701</v>
      </c>
      <c r="S3">
        <f>1-('Portfolio equity assets '!S3)/('Portfolio equity assets '!S3+('Market Cap'!S3/1000000)-'Portfolio equity liabilities '!S3)</f>
        <v>0.78754506289979997</v>
      </c>
    </row>
    <row r="4" spans="1:19" x14ac:dyDescent="0.3">
      <c r="A4" s="4" t="s">
        <v>3</v>
      </c>
      <c r="B4">
        <f>1-('Portfolio equity assets '!B4)/('Portfolio equity assets '!B4+('Market Cap'!B4/1000000)-'Portfolio equity liabilities '!B4)</f>
        <v>0.86970702567704206</v>
      </c>
      <c r="C4">
        <f>1-('Portfolio equity assets '!C4)/('Portfolio equity assets '!C4+('Market Cap'!C4/1000000)-'Portfolio equity liabilities '!C4)</f>
        <v>0.83437919307880537</v>
      </c>
      <c r="D4">
        <f>1-('Portfolio equity assets '!D4)/('Portfolio equity assets '!D4+('Market Cap'!D4/1000000)-'Portfolio equity liabilities '!D4)</f>
        <v>0.81306708090327917</v>
      </c>
      <c r="E4">
        <f>1-('Portfolio equity assets '!E4)/('Portfolio equity assets '!E4+('Market Cap'!E4/1000000)-'Portfolio equity liabilities '!E4)</f>
        <v>0.79413033376201791</v>
      </c>
      <c r="F4">
        <f>1-('Portfolio equity assets '!F4)/('Portfolio equity assets '!F4+('Market Cap'!F4/1000000)-'Portfolio equity liabilities '!F4)</f>
        <v>0.63560881060478736</v>
      </c>
      <c r="G4">
        <f>1-('Portfolio equity assets '!G4)/('Portfolio equity assets '!G4+('Market Cap'!G4/1000000)-'Portfolio equity liabilities '!G4)</f>
        <v>0.51761386720025426</v>
      </c>
      <c r="H4">
        <f>1-('Portfolio equity assets '!H4)/('Portfolio equity assets '!H4+('Market Cap'!H4/1000000)-'Portfolio equity liabilities '!H4)</f>
        <v>0.38715212062112281</v>
      </c>
      <c r="I4">
        <f>1-('Portfolio equity assets '!I4)/('Portfolio equity assets '!I4+('Market Cap'!I4/1000000)-'Portfolio equity liabilities '!I4)</f>
        <v>0.19534563275232042</v>
      </c>
      <c r="J4">
        <f>1-('Portfolio equity assets '!J4)/('Portfolio equity assets '!J4+('Market Cap'!J4/1000000)-'Portfolio equity liabilities '!J4)</f>
        <v>0.23519662851831102</v>
      </c>
      <c r="K4">
        <f>1-('Portfolio equity assets '!K4)/('Portfolio equity assets '!K4+('Market Cap'!K4/1000000)-'Portfolio equity liabilities '!K4)</f>
        <v>0.32796971947683651</v>
      </c>
      <c r="L4">
        <f>1-('Portfolio equity assets '!L4)/('Portfolio equity assets '!L4+('Market Cap'!L4/1000000)-'Portfolio equity liabilities '!L4)</f>
        <v>0.39325368329836963</v>
      </c>
      <c r="M4">
        <f>1-('Portfolio equity assets '!M4)/('Portfolio equity assets '!M4+('Market Cap'!M4/1000000)-'Portfolio equity liabilities '!M4)</f>
        <v>0.42834179350765178</v>
      </c>
      <c r="N4">
        <f>1-('Portfolio equity assets '!N4)/('Portfolio equity assets '!N4+('Market Cap'!N4/1000000)-'Portfolio equity liabilities '!N4)</f>
        <v>0.50599179255593651</v>
      </c>
      <c r="O4">
        <f>1-('Portfolio equity assets '!O4)/('Portfolio equity assets '!O4+('Market Cap'!O4/1000000)-'Portfolio equity liabilities '!O4)</f>
        <v>0.52745046626988068</v>
      </c>
      <c r="P4">
        <f>1-('Portfolio equity assets '!P4)/('Portfolio equity assets '!P4+('Market Cap'!P4/1000000)-'Portfolio equity liabilities '!P4)</f>
        <v>0.5507780946898615</v>
      </c>
      <c r="Q4">
        <f>1-('Portfolio equity assets '!Q4)/('Portfolio equity assets '!Q4+('Market Cap'!Q4/1000000)-'Portfolio equity liabilities '!Q4)</f>
        <v>0.31728123401194319</v>
      </c>
      <c r="R4">
        <f>1-('Portfolio equity assets '!R4)/('Portfolio equity assets '!R4+('Market Cap'!R4/1000000)-'Portfolio equity liabilities '!R4)</f>
        <v>-9.8278536798470206E-2</v>
      </c>
      <c r="S4">
        <f>1-('Portfolio equity assets '!S4)/('Portfolio equity assets '!S4+('Market Cap'!S4/1000000)-'Portfolio equity liabilities '!S4)</f>
        <v>5.3781332796504433E-2</v>
      </c>
    </row>
    <row r="5" spans="1:19" x14ac:dyDescent="0.3">
      <c r="A5" s="4" t="s">
        <v>4</v>
      </c>
      <c r="B5">
        <f>1-('Portfolio equity assets '!B5)/('Portfolio equity assets '!B5+('Market Cap'!B5/1000000)-'Portfolio equity liabilities '!B5)</f>
        <v>0.54063900899098394</v>
      </c>
      <c r="C5">
        <f>1-('Portfolio equity assets '!C5)/('Portfolio equity assets '!C5+('Market Cap'!C5/1000000)-'Portfolio equity liabilities '!C5)</f>
        <v>0.55426842073281912</v>
      </c>
      <c r="D5">
        <f>1-('Portfolio equity assets '!D5)/('Portfolio equity assets '!D5+('Market Cap'!D5/1000000)-'Portfolio equity liabilities '!D5)</f>
        <v>0.59823059528958411</v>
      </c>
      <c r="E5">
        <f>1-('Portfolio equity assets '!E5)/('Portfolio equity assets '!E5+('Market Cap'!E5/1000000)-'Portfolio equity liabilities '!E5)</f>
        <v>0.62724950453119788</v>
      </c>
      <c r="F5">
        <f>1-('Portfolio equity assets '!F5)/('Portfolio equity assets '!F5+('Market Cap'!F5/1000000)-'Portfolio equity liabilities '!F5)</f>
        <v>0.65882787761385819</v>
      </c>
      <c r="G5">
        <f>1-('Portfolio equity assets '!G5)/('Portfolio equity assets '!G5+('Market Cap'!G5/1000000)-'Portfolio equity liabilities '!G5)</f>
        <v>0.70759472015338121</v>
      </c>
      <c r="H5">
        <f>1-('Portfolio equity assets '!H5)/('Portfolio equity assets '!H5+('Market Cap'!H5/1000000)-'Portfolio equity liabilities '!H5)</f>
        <v>0.57497591216666044</v>
      </c>
      <c r="I5">
        <f>1-('Portfolio equity assets '!I5)/('Portfolio equity assets '!I5+('Market Cap'!I5/1000000)-'Portfolio equity liabilities '!I5)</f>
        <v>0.57434736841925593</v>
      </c>
      <c r="J5">
        <f>1-('Portfolio equity assets '!J5)/('Portfolio equity assets '!J5+('Market Cap'!J5/1000000)-'Portfolio equity liabilities '!J5)</f>
        <v>0.57671436437075485</v>
      </c>
      <c r="K5">
        <f>1-('Portfolio equity assets '!K5)/('Portfolio equity assets '!K5+('Market Cap'!K5/1000000)-'Portfolio equity liabilities '!K5)</f>
        <v>0.51055163616133814</v>
      </c>
      <c r="L5">
        <f>1-('Portfolio equity assets '!L5)/('Portfolio equity assets '!L5+('Market Cap'!L5/1000000)-'Portfolio equity liabilities '!L5)</f>
        <v>0.49833220345531637</v>
      </c>
      <c r="M5">
        <f>1-('Portfolio equity assets '!M5)/('Portfolio equity assets '!M5+('Market Cap'!M5/1000000)-'Portfolio equity liabilities '!M5)</f>
        <v>0.57083553473143667</v>
      </c>
      <c r="N5">
        <f>1-('Portfolio equity assets '!N5)/('Portfolio equity assets '!N5+('Market Cap'!N5/1000000)-'Portfolio equity liabilities '!N5)</f>
        <v>0.54548253124410739</v>
      </c>
      <c r="O5">
        <f>1-('Portfolio equity assets '!O5)/('Portfolio equity assets '!O5+('Market Cap'!O5/1000000)-'Portfolio equity liabilities '!O5)</f>
        <v>0.57692826772574168</v>
      </c>
      <c r="P5">
        <f>1-('Portfolio equity assets '!P5)/('Portfolio equity assets '!P5+('Market Cap'!P5/1000000)-'Portfolio equity liabilities '!P5)</f>
        <v>0.4997876936982687</v>
      </c>
      <c r="Q5">
        <f>1-('Portfolio equity assets '!Q5)/('Portfolio equity assets '!Q5+('Market Cap'!Q5/1000000)-'Portfolio equity liabilities '!Q5)</f>
        <v>0.32354956969868864</v>
      </c>
      <c r="R5">
        <f>1-('Portfolio equity assets '!R5)/('Portfolio equity assets '!R5+('Market Cap'!R5/1000000)-'Portfolio equity liabilities '!R5)</f>
        <v>0.37100504880664886</v>
      </c>
      <c r="S5">
        <f>1-('Portfolio equity assets '!S5)/('Portfolio equity assets '!S5+('Market Cap'!S5/1000000)-'Portfolio equity liabilities '!S5)</f>
        <v>0.38428591675723034</v>
      </c>
    </row>
    <row r="6" spans="1:19" x14ac:dyDescent="0.3">
      <c r="A6" s="4" t="s">
        <v>5</v>
      </c>
      <c r="B6">
        <f>1-('Portfolio equity assets '!B6)/('Portfolio equity assets '!B6+('Market Cap'!B6/1000000)-'Portfolio equity liabilities '!B6)</f>
        <v>0.80380626897555585</v>
      </c>
      <c r="C6">
        <f>1-('Portfolio equity assets '!C6)/('Portfolio equity assets '!C6+('Market Cap'!C6/1000000)-'Portfolio equity liabilities '!C6)</f>
        <v>0.78487726155243309</v>
      </c>
      <c r="D6">
        <f>1-('Portfolio equity assets '!D6)/('Portfolio equity assets '!D6+('Market Cap'!D6/1000000)-'Portfolio equity liabilities '!D6)</f>
        <v>0.77626876361295438</v>
      </c>
      <c r="E6">
        <f>1-('Portfolio equity assets '!E6)/('Portfolio equity assets '!E6+('Market Cap'!E6/1000000)-'Portfolio equity liabilities '!E6)</f>
        <v>0.77578424024281367</v>
      </c>
      <c r="F6">
        <f>1-('Portfolio equity assets '!F6)/('Portfolio equity assets '!F6+('Market Cap'!F6/1000000)-'Portfolio equity liabilities '!F6)</f>
        <v>0.77673218547744538</v>
      </c>
      <c r="G6">
        <f>1-('Portfolio equity assets '!G6)/('Portfolio equity assets '!G6+('Market Cap'!G6/1000000)-'Portfolio equity liabilities '!G6)</f>
        <v>0.74295490606367642</v>
      </c>
      <c r="H6">
        <f>1-('Portfolio equity assets '!H6)/('Portfolio equity assets '!H6+('Market Cap'!H6/1000000)-'Portfolio equity liabilities '!H6)</f>
        <v>0.73578997973294613</v>
      </c>
      <c r="I6">
        <f>1-('Portfolio equity assets '!I6)/('Portfolio equity assets '!I6+('Market Cap'!I6/1000000)-'Portfolio equity liabilities '!I6)</f>
        <v>0.74171493933258437</v>
      </c>
      <c r="J6">
        <f>1-('Portfolio equity assets '!J6)/('Portfolio equity assets '!J6+('Market Cap'!J6/1000000)-'Portfolio equity liabilities '!J6)</f>
        <v>0.71797421894412139</v>
      </c>
      <c r="K6">
        <f>1-('Portfolio equity assets '!K6)/('Portfolio equity assets '!K6+('Market Cap'!K6/1000000)-'Portfolio equity liabilities '!K6)</f>
        <v>0.70052027473907907</v>
      </c>
      <c r="L6">
        <f>1-('Portfolio equity assets '!L6)/('Portfolio equity assets '!L6+('Market Cap'!L6/1000000)-'Portfolio equity liabilities '!L6)</f>
        <v>0.72340931859418078</v>
      </c>
      <c r="M6">
        <f>1-('Portfolio equity assets '!M6)/('Portfolio equity assets '!M6+('Market Cap'!M6/1000000)-'Portfolio equity liabilities '!M6)</f>
        <v>0.74844628891757714</v>
      </c>
      <c r="N6">
        <f>1-('Portfolio equity assets '!N6)/('Portfolio equity assets '!N6+('Market Cap'!N6/1000000)-'Portfolio equity liabilities '!N6)</f>
        <v>0.75825303883785267</v>
      </c>
      <c r="O6">
        <f>1-('Portfolio equity assets '!O6)/('Portfolio equity assets '!O6+('Market Cap'!O6/1000000)-'Portfolio equity liabilities '!O6)</f>
        <v>0.73055623651049206</v>
      </c>
      <c r="P6">
        <f>1-('Portfolio equity assets '!P6)/('Portfolio equity assets '!P6+('Market Cap'!P6/1000000)-'Portfolio equity liabilities '!P6)</f>
        <v>0.74401510183995601</v>
      </c>
      <c r="Q6">
        <f>1-('Portfolio equity assets '!Q6)/('Portfolio equity assets '!Q6+('Market Cap'!Q6/1000000)-'Portfolio equity liabilities '!Q6)</f>
        <v>0.68837002534599046</v>
      </c>
      <c r="R6">
        <f>1-('Portfolio equity assets '!R6)/('Portfolio equity assets '!R6+('Market Cap'!R6/1000000)-'Portfolio equity liabilities '!R6)</f>
        <v>0.7351788262091018</v>
      </c>
      <c r="S6">
        <f>1-('Portfolio equity assets '!S6)/('Portfolio equity assets '!S6+('Market Cap'!S6/1000000)-'Portfolio equity liabilities '!S6)</f>
        <v>0.7452577837135308</v>
      </c>
    </row>
    <row r="7" spans="1:19" x14ac:dyDescent="0.3">
      <c r="A7" s="4" t="s">
        <v>6</v>
      </c>
      <c r="B7">
        <f>1-('Portfolio equity assets '!B7)/('Portfolio equity assets '!B7+('Market Cap'!B7/1000000)-'Portfolio equity liabilities '!B7)</f>
        <v>0.82856539410952557</v>
      </c>
      <c r="C7">
        <f>1-('Portfolio equity assets '!C7)/('Portfolio equity assets '!C7+('Market Cap'!C7/1000000)-'Portfolio equity liabilities '!C7)</f>
        <v>0.84298177401956376</v>
      </c>
      <c r="D7">
        <f>1-('Portfolio equity assets '!D7)/('Portfolio equity assets '!D7+('Market Cap'!D7/1000000)-'Portfolio equity liabilities '!D7)</f>
        <v>0.81584514870347746</v>
      </c>
      <c r="E7">
        <f>1-('Portfolio equity assets '!E7)/('Portfolio equity assets '!E7+('Market Cap'!E7/1000000)-'Portfolio equity liabilities '!E7)</f>
        <v>0.78578568219883194</v>
      </c>
      <c r="F7">
        <f>1-('Portfolio equity assets '!F7)/('Portfolio equity assets '!F7+('Market Cap'!F7/1000000)-'Portfolio equity liabilities '!F7)</f>
        <v>0.7660717556450507</v>
      </c>
      <c r="G7">
        <f>1-('Portfolio equity assets '!G7)/('Portfolio equity assets '!G7+('Market Cap'!G7/1000000)-'Portfolio equity liabilities '!G7)</f>
        <v>0.7059616788961518</v>
      </c>
      <c r="H7">
        <f>1-('Portfolio equity assets '!H7)/('Portfolio equity assets '!H7+('Market Cap'!H7/1000000)-'Portfolio equity liabilities '!H7)</f>
        <v>0.62778028095354343</v>
      </c>
      <c r="I7">
        <f>1-('Portfolio equity assets '!I7)/('Portfolio equity assets '!I7+('Market Cap'!I7/1000000)-'Portfolio equity liabilities '!I7)</f>
        <v>0.59108754950163556</v>
      </c>
      <c r="J7">
        <f>1-('Portfolio equity assets '!J7)/('Portfolio equity assets '!J7+('Market Cap'!J7/1000000)-'Portfolio equity liabilities '!J7)</f>
        <v>0.57355401800042971</v>
      </c>
      <c r="K7">
        <f>1-('Portfolio equity assets '!K7)/('Portfolio equity assets '!K7+('Market Cap'!K7/1000000)-'Portfolio equity liabilities '!K7)</f>
        <v>0.61054242520069169</v>
      </c>
      <c r="L7">
        <f>1-('Portfolio equity assets '!L7)/('Portfolio equity assets '!L7+('Market Cap'!L7/1000000)-'Portfolio equity liabilities '!L7)</f>
        <v>0.63419986267723405</v>
      </c>
      <c r="M7">
        <f>1-('Portfolio equity assets '!M7)/('Portfolio equity assets '!M7+('Market Cap'!M7/1000000)-'Portfolio equity liabilities '!M7)</f>
        <v>0.62029204045625663</v>
      </c>
      <c r="N7">
        <f>1-('Portfolio equity assets '!N7)/('Portfolio equity assets '!N7+('Market Cap'!N7/1000000)-'Portfolio equity liabilities '!N7)</f>
        <v>0.59333763776688642</v>
      </c>
      <c r="O7">
        <f>1-('Portfolio equity assets '!O7)/('Portfolio equity assets '!O7+('Market Cap'!O7/1000000)-'Portfolio equity liabilities '!O7)</f>
        <v>0.56010056006793696</v>
      </c>
      <c r="P7">
        <f>1-('Portfolio equity assets '!P7)/('Portfolio equity assets '!P7+('Market Cap'!P7/1000000)-'Portfolio equity liabilities '!P7)</f>
        <v>0.55374743264546655</v>
      </c>
      <c r="Q7">
        <f>1-('Portfolio equity assets '!Q7)/('Portfolio equity assets '!Q7+('Market Cap'!Q7/1000000)-'Portfolio equity liabilities '!Q7)</f>
        <v>0.50187299942349228</v>
      </c>
      <c r="R7">
        <f>1-('Portfolio equity assets '!R7)/('Portfolio equity assets '!R7+('Market Cap'!R7/1000000)-'Portfolio equity liabilities '!R7)</f>
        <v>0.51018009450979529</v>
      </c>
      <c r="S7">
        <f>1-('Portfolio equity assets '!S7)/('Portfolio equity assets '!S7+('Market Cap'!S7/1000000)-'Portfolio equity liabilities '!S7)</f>
        <v>0.50531080808163376</v>
      </c>
    </row>
    <row r="8" spans="1:19" x14ac:dyDescent="0.3">
      <c r="A8" s="4" t="s">
        <v>7</v>
      </c>
      <c r="B8">
        <f>1-('Portfolio equity assets '!B8)/('Portfolio equity assets '!B8+('Market Cap'!B8/1000000)-'Portfolio equity liabilities '!B8)</f>
        <v>0.98344512150768071</v>
      </c>
      <c r="C8">
        <f>1-('Portfolio equity assets '!C8)/('Portfolio equity assets '!C8+('Market Cap'!C8/1000000)-'Portfolio equity liabilities '!C8)</f>
        <v>0.98386011067767998</v>
      </c>
      <c r="D8">
        <f>1-('Portfolio equity assets '!D8)/('Portfolio equity assets '!D8+('Market Cap'!D8/1000000)-'Portfolio equity liabilities '!D8)</f>
        <v>0.97560862524760239</v>
      </c>
      <c r="E8">
        <f>1-('Portfolio equity assets '!E8)/('Portfolio equity assets '!E8+('Market Cap'!E8/1000000)-'Portfolio equity liabilities '!E8)</f>
        <v>0.96203555993629264</v>
      </c>
      <c r="F8">
        <f>1-('Portfolio equity assets '!F8)/('Portfolio equity assets '!F8+('Market Cap'!F8/1000000)-'Portfolio equity liabilities '!F8)</f>
        <v>0.93195941408135075</v>
      </c>
      <c r="G8">
        <f>1-('Portfolio equity assets '!G8)/('Portfolio equity assets '!G8+('Market Cap'!G8/1000000)-'Portfolio equity liabilities '!G8)</f>
        <v>0.93417017242768008</v>
      </c>
      <c r="H8">
        <f>1-('Portfolio equity assets '!H8)/('Portfolio equity assets '!H8+('Market Cap'!H8/1000000)-'Portfolio equity liabilities '!H8)</f>
        <v>0.90477269645006642</v>
      </c>
      <c r="I8">
        <f>1-('Portfolio equity assets '!I8)/('Portfolio equity assets '!I8+('Market Cap'!I8/1000000)-'Portfolio equity liabilities '!I8)</f>
        <v>0.8150081265515956</v>
      </c>
      <c r="J8">
        <f>1-('Portfolio equity assets '!J8)/('Portfolio equity assets '!J8+('Market Cap'!J8/1000000)-'Portfolio equity liabilities '!J8)</f>
        <v>0.75589145138472491</v>
      </c>
      <c r="K8">
        <f>1-('Portfolio equity assets '!K8)/('Portfolio equity assets '!K8+('Market Cap'!K8/1000000)-'Portfolio equity liabilities '!K8)</f>
        <v>0.6839919439316855</v>
      </c>
      <c r="L8">
        <f>1-('Portfolio equity assets '!L8)/('Portfolio equity assets '!L8+('Market Cap'!L8/1000000)-'Portfolio equity liabilities '!L8)</f>
        <v>0.64986035203109371</v>
      </c>
      <c r="M8">
        <f>1-('Portfolio equity assets '!M8)/('Portfolio equity assets '!M8+('Market Cap'!M8/1000000)-'Portfolio equity liabilities '!M8)</f>
        <v>0.60259158201254559</v>
      </c>
      <c r="N8">
        <f>1-('Portfolio equity assets '!N8)/('Portfolio equity assets '!N8+('Market Cap'!N8/1000000)-'Portfolio equity liabilities '!N8)</f>
        <v>0.58126911303567219</v>
      </c>
      <c r="O8">
        <f>1-('Portfolio equity assets '!O8)/('Portfolio equity assets '!O8+('Market Cap'!O8/1000000)-'Portfolio equity liabilities '!O8)</f>
        <v>0.53480833502012803</v>
      </c>
      <c r="P8">
        <f>1-('Portfolio equity assets '!P8)/('Portfolio equity assets '!P8+('Market Cap'!P8/1000000)-'Portfolio equity liabilities '!P8)</f>
        <v>0.53235955058768036</v>
      </c>
      <c r="Q8">
        <f>1-('Portfolio equity assets '!Q8)/('Portfolio equity assets '!Q8+('Market Cap'!Q8/1000000)-'Portfolio equity liabilities '!Q8)</f>
        <v>0.47539373751766845</v>
      </c>
      <c r="R8">
        <f>1-('Portfolio equity assets '!R8)/('Portfolio equity assets '!R8+('Market Cap'!R8/1000000)-'Portfolio equity liabilities '!R8)</f>
        <v>-0.14469266339775255</v>
      </c>
      <c r="S8">
        <f>1-('Portfolio equity assets '!S8)/('Portfolio equity assets '!S8+('Market Cap'!S8/1000000)-'Portfolio equity liabilities '!S8)</f>
        <v>0.13622118059111277</v>
      </c>
    </row>
    <row r="9" spans="1:19" x14ac:dyDescent="0.3">
      <c r="A9" s="4" t="s">
        <v>8</v>
      </c>
      <c r="B9">
        <f>1-('Portfolio equity assets '!B9)/('Portfolio equity assets '!B9+('Market Cap'!B9/1000000)-'Portfolio equity liabilities '!B9)</f>
        <v>0.87145567351114206</v>
      </c>
      <c r="C9">
        <f>1-('Portfolio equity assets '!C9)/('Portfolio equity assets '!C9+('Market Cap'!C9/1000000)-'Portfolio equity liabilities '!C9)</f>
        <v>0.86657205678615168</v>
      </c>
      <c r="D9">
        <f>1-('Portfolio equity assets '!D9)/('Portfolio equity assets '!D9+('Market Cap'!D9/1000000)-'Portfolio equity liabilities '!D9)</f>
        <v>0.87302980984617928</v>
      </c>
      <c r="E9">
        <f>1-('Portfolio equity assets '!E9)/('Portfolio equity assets '!E9+('Market Cap'!E9/1000000)-'Portfolio equity liabilities '!E9)</f>
        <v>0.85565346850328139</v>
      </c>
      <c r="F9">
        <f>1-('Portfolio equity assets '!F9)/('Portfolio equity assets '!F9+('Market Cap'!F9/1000000)-'Portfolio equity liabilities '!F9)</f>
        <v>0.82452805699063647</v>
      </c>
      <c r="G9">
        <f>1-('Portfolio equity assets '!G9)/('Portfolio equity assets '!G9+('Market Cap'!G9/1000000)-'Portfolio equity liabilities '!G9)</f>
        <v>0.82849516602298778</v>
      </c>
      <c r="H9">
        <f>1-('Portfolio equity assets '!H9)/('Portfolio equity assets '!H9+('Market Cap'!H9/1000000)-'Portfolio equity liabilities '!H9)</f>
        <v>0.83894797536087617</v>
      </c>
      <c r="I9">
        <f>1-('Portfolio equity assets '!I9)/('Portfolio equity assets '!I9+('Market Cap'!I9/1000000)-'Portfolio equity liabilities '!I9)</f>
        <v>0.81806308177178133</v>
      </c>
      <c r="J9">
        <f>1-('Portfolio equity assets '!J9)/('Portfolio equity assets '!J9+('Market Cap'!J9/1000000)-'Portfolio equity liabilities '!J9)</f>
        <v>0.78988693593791304</v>
      </c>
      <c r="K9">
        <f>1-('Portfolio equity assets '!K9)/('Portfolio equity assets '!K9+('Market Cap'!K9/1000000)-'Portfolio equity liabilities '!K9)</f>
        <v>0.75655874682669833</v>
      </c>
      <c r="L9">
        <f>1-('Portfolio equity assets '!L9)/('Portfolio equity assets '!L9+('Market Cap'!L9/1000000)-'Portfolio equity liabilities '!L9)</f>
        <v>0.71770474218566882</v>
      </c>
      <c r="M9">
        <f>1-('Portfolio equity assets '!M9)/('Portfolio equity assets '!M9+('Market Cap'!M9/1000000)-'Portfolio equity liabilities '!M9)</f>
        <v>0.68559254847287687</v>
      </c>
      <c r="N9">
        <f>1-('Portfolio equity assets '!N9)/('Portfolio equity assets '!N9+('Market Cap'!N9/1000000)-'Portfolio equity liabilities '!N9)</f>
        <v>0.67053793665773553</v>
      </c>
      <c r="O9">
        <f>1-('Portfolio equity assets '!O9)/('Portfolio equity assets '!O9+('Market Cap'!O9/1000000)-'Portfolio equity liabilities '!O9)</f>
        <v>0.66738437560977282</v>
      </c>
      <c r="P9">
        <f>1-('Portfolio equity assets '!P9)/('Portfolio equity assets '!P9+('Market Cap'!P9/1000000)-'Portfolio equity liabilities '!P9)</f>
        <v>0.67417018953692365</v>
      </c>
      <c r="Q9">
        <f>1-('Portfolio equity assets '!Q9)/('Portfolio equity assets '!Q9+('Market Cap'!Q9/1000000)-'Portfolio equity liabilities '!Q9)</f>
        <v>0.64630542562508997</v>
      </c>
      <c r="R9">
        <f>1-('Portfolio equity assets '!R9)/('Portfolio equity assets '!R9+('Market Cap'!R9/1000000)-'Portfolio equity liabilities '!R9)</f>
        <v>0.63955347747776248</v>
      </c>
      <c r="S9">
        <f>1-('Portfolio equity assets '!S9)/('Portfolio equity assets '!S9+('Market Cap'!S9/1000000)-'Portfolio equity liabilities '!S9)</f>
        <v>0.63383580860136424</v>
      </c>
    </row>
    <row r="10" spans="1:19" x14ac:dyDescent="0.3">
      <c r="A10" s="4" t="s">
        <v>9</v>
      </c>
      <c r="B10">
        <f>1-('Portfolio equity assets '!B10)/('Portfolio equity assets '!B10+('Market Cap'!B10/1000000)-'Portfolio equity liabilities '!B10)</f>
        <v>0.76250169748806229</v>
      </c>
      <c r="C10">
        <f>1-('Portfolio equity assets '!C10)/('Portfolio equity assets '!C10+('Market Cap'!C10/1000000)-'Portfolio equity liabilities '!C10)</f>
        <v>0.7179069739410604</v>
      </c>
      <c r="D10">
        <f>1-('Portfolio equity assets '!D10)/('Portfolio equity assets '!D10+('Market Cap'!D10/1000000)-'Portfolio equity liabilities '!D10)</f>
        <v>0.73761950704564572</v>
      </c>
      <c r="E10">
        <f>1-('Portfolio equity assets '!E10)/('Portfolio equity assets '!E10+('Market Cap'!E10/1000000)-'Portfolio equity liabilities '!E10)</f>
        <v>0.73894224941000741</v>
      </c>
      <c r="F10">
        <f>1-('Portfolio equity assets '!F10)/('Portfolio equity assets '!F10+('Market Cap'!F10/1000000)-'Portfolio equity liabilities '!F10)</f>
        <v>0.72558535931184664</v>
      </c>
      <c r="G10">
        <f>1-('Portfolio equity assets '!G10)/('Portfolio equity assets '!G10+('Market Cap'!G10/1000000)-'Portfolio equity liabilities '!G10)</f>
        <v>0.68450085337036559</v>
      </c>
      <c r="H10">
        <f>1-('Portfolio equity assets '!H10)/('Portfolio equity assets '!H10+('Market Cap'!H10/1000000)-'Portfolio equity liabilities '!H10)</f>
        <v>0.67575092323412633</v>
      </c>
      <c r="I10">
        <f>1-('Portfolio equity assets '!I10)/('Portfolio equity assets '!I10+('Market Cap'!I10/1000000)-'Portfolio equity liabilities '!I10)</f>
        <v>0.62849746660697525</v>
      </c>
      <c r="J10">
        <f>1-('Portfolio equity assets '!J10)/('Portfolio equity assets '!J10+('Market Cap'!J10/1000000)-'Portfolio equity liabilities '!J10)</f>
        <v>0.61292234664739631</v>
      </c>
      <c r="K10">
        <f>1-('Portfolio equity assets '!K10)/('Portfolio equity assets '!K10+('Market Cap'!K10/1000000)-'Portfolio equity liabilities '!K10)</f>
        <v>0.52216470243637381</v>
      </c>
      <c r="L10">
        <f>1-('Portfolio equity assets '!L10)/('Portfolio equity assets '!L10+('Market Cap'!L10/1000000)-'Portfolio equity liabilities '!L10)</f>
        <v>0.5542759328920519</v>
      </c>
      <c r="M10">
        <f>1-('Portfolio equity assets '!M10)/('Portfolio equity assets '!M10+('Market Cap'!M10/1000000)-'Portfolio equity liabilities '!M10)</f>
        <v>0.54325551517502602</v>
      </c>
      <c r="N10">
        <f>1-('Portfolio equity assets '!N10)/('Portfolio equity assets '!N10+('Market Cap'!N10/1000000)-'Portfolio equity liabilities '!N10)</f>
        <v>0.50017424647981201</v>
      </c>
      <c r="O10">
        <f>1-('Portfolio equity assets '!O10)/('Portfolio equity assets '!O10+('Market Cap'!O10/1000000)-'Portfolio equity liabilities '!O10)</f>
        <v>0.48043563658577682</v>
      </c>
      <c r="P10">
        <f>1-('Portfolio equity assets '!P10)/('Portfolio equity assets '!P10+('Market Cap'!P10/1000000)-'Portfolio equity liabilities '!P10)</f>
        <v>0.49427594900232208</v>
      </c>
      <c r="Q10">
        <f>1-('Portfolio equity assets '!Q10)/('Portfolio equity assets '!Q10+('Market Cap'!Q10/1000000)-'Portfolio equity liabilities '!Q10)</f>
        <v>0.49715340620524617</v>
      </c>
      <c r="R10">
        <f>1-('Portfolio equity assets '!R10)/('Portfolio equity assets '!R10+('Market Cap'!R10/1000000)-'Portfolio equity liabilities '!R10)</f>
        <v>0.42787657087054187</v>
      </c>
      <c r="S10">
        <f>1-('Portfolio equity assets '!S10)/('Portfolio equity assets '!S10+('Market Cap'!S10/1000000)-'Portfolio equity liabilities '!S10)</f>
        <v>0.44721491077340136</v>
      </c>
    </row>
    <row r="11" spans="1:19" x14ac:dyDescent="0.3">
      <c r="A11" s="4" t="s">
        <v>10</v>
      </c>
      <c r="B11">
        <f>1-('Portfolio equity assets '!B11)/('Portfolio equity assets '!B11+('Market Cap'!B11/1000000)-'Portfolio equity liabilities '!B11)</f>
        <v>0.96521563594080417</v>
      </c>
      <c r="C11">
        <f>1-('Portfolio equity assets '!C11)/('Portfolio equity assets '!C11+('Market Cap'!C11/1000000)-'Portfolio equity liabilities '!C11)</f>
        <v>0.96884881663855704</v>
      </c>
      <c r="D11">
        <f>1-('Portfolio equity assets '!D11)/('Portfolio equity assets '!D11+('Market Cap'!D11/1000000)-'Portfolio equity liabilities '!D11)</f>
        <v>0.96514238348499148</v>
      </c>
      <c r="E11">
        <f>1-('Portfolio equity assets '!E11)/('Portfolio equity assets '!E11+('Market Cap'!E11/1000000)-'Portfolio equity liabilities '!E11)</f>
        <v>0.97090899648442819</v>
      </c>
      <c r="F11">
        <f>1-('Portfolio equity assets '!F11)/('Portfolio equity assets '!F11+('Market Cap'!F11/1000000)-'Portfolio equity liabilities '!F11)</f>
        <v>0.96616804560925185</v>
      </c>
      <c r="G11">
        <f>1-('Portfolio equity assets '!G11)/('Portfolio equity assets '!G11+('Market Cap'!G11/1000000)-'Portfolio equity liabilities '!G11)</f>
        <v>0.98298346055979646</v>
      </c>
      <c r="H11">
        <f>1-('Portfolio equity assets '!H11)/('Portfolio equity assets '!H11+('Market Cap'!H11/1000000)-'Portfolio equity liabilities '!H11)</f>
        <v>0.99396656951784701</v>
      </c>
      <c r="I11">
        <f>1-('Portfolio equity assets '!I11)/('Portfolio equity assets '!I11+('Market Cap'!I11/1000000)-'Portfolio equity liabilities '!I11)</f>
        <v>0.98688592199603953</v>
      </c>
      <c r="J11">
        <f>1-('Portfolio equity assets '!J11)/('Portfolio equity assets '!J11+('Market Cap'!J11/1000000)-'Portfolio equity liabilities '!J11)</f>
        <v>0.96855349499186238</v>
      </c>
      <c r="K11">
        <f>1-('Portfolio equity assets '!K11)/('Portfolio equity assets '!K11+('Market Cap'!K11/1000000)-'Portfolio equity liabilities '!K11)</f>
        <v>0.9587267413664543</v>
      </c>
      <c r="L11">
        <f>1-('Portfolio equity assets '!L11)/('Portfolio equity assets '!L11+('Market Cap'!L11/1000000)-'Portfolio equity liabilities '!L11)</f>
        <v>0.9538717643847956</v>
      </c>
      <c r="M11">
        <f>1-('Portfolio equity assets '!M11)/('Portfolio equity assets '!M11+('Market Cap'!M11/1000000)-'Portfolio equity liabilities '!M11)</f>
        <v>0.94488107496001472</v>
      </c>
      <c r="N11">
        <f>1-('Portfolio equity assets '!N11)/('Portfolio equity assets '!N11+('Market Cap'!N11/1000000)-'Portfolio equity liabilities '!N11)</f>
        <v>0.9317775132682361</v>
      </c>
      <c r="O11">
        <f>1-('Portfolio equity assets '!O11)/('Portfolio equity assets '!O11+('Market Cap'!O11/1000000)-'Portfolio equity liabilities '!O11)</f>
        <v>0.92035601034816583</v>
      </c>
      <c r="P11">
        <f>1-('Portfolio equity assets '!P11)/('Portfolio equity assets '!P11+('Market Cap'!P11/1000000)-'Portfolio equity liabilities '!P11)</f>
        <v>0.8955176495108873</v>
      </c>
      <c r="Q11">
        <f>1-('Portfolio equity assets '!Q11)/('Portfolio equity assets '!Q11+('Market Cap'!Q11/1000000)-'Portfolio equity liabilities '!Q11)</f>
        <v>0.81165157278166955</v>
      </c>
      <c r="R11">
        <f>1-('Portfolio equity assets '!R11)/('Portfolio equity assets '!R11+('Market Cap'!R11/1000000)-'Portfolio equity liabilities '!R11)</f>
        <v>0.65959276831728886</v>
      </c>
      <c r="S11">
        <f>1-('Portfolio equity assets '!S11)/('Portfolio equity assets '!S11+('Market Cap'!S11/1000000)-'Portfolio equity liabilities '!S11)</f>
        <v>0.81932082309354737</v>
      </c>
    </row>
    <row r="12" spans="1:19" x14ac:dyDescent="0.3">
      <c r="A12" s="4" t="s">
        <v>13</v>
      </c>
      <c r="B12">
        <f>1-('Portfolio equity assets '!B14)/('Portfolio equity assets '!B14+('Market Cap'!B14/1000000)-'Portfolio equity liabilities '!B14)</f>
        <v>0.76336218531419919</v>
      </c>
      <c r="C12">
        <f>1-('Portfolio equity assets '!C14)/('Portfolio equity assets '!C14+('Market Cap'!C14/1000000)-'Portfolio equity liabilities '!C14)</f>
        <v>0.80583047680118558</v>
      </c>
      <c r="D12">
        <f>1-('Portfolio equity assets '!D14)/('Portfolio equity assets '!D14+('Market Cap'!D14/1000000)-'Portfolio equity liabilities '!D14)</f>
        <v>0.78277386822244965</v>
      </c>
      <c r="E12">
        <f>1-('Portfolio equity assets '!E14)/('Portfolio equity assets '!E14+('Market Cap'!E14/1000000)-'Portfolio equity liabilities '!E14)</f>
        <v>0.76036970830928186</v>
      </c>
      <c r="F12">
        <f>1-('Portfolio equity assets '!F14)/('Portfolio equity assets '!F14+('Market Cap'!F14/1000000)-'Portfolio equity liabilities '!F14)</f>
        <v>0.73028170268564208</v>
      </c>
      <c r="G12">
        <f>1-('Portfolio equity assets '!G14)/('Portfolio equity assets '!G14+('Market Cap'!G14/1000000)-'Portfolio equity liabilities '!G14)</f>
        <v>0.76579545608439048</v>
      </c>
      <c r="H12">
        <f>1-('Portfolio equity assets '!H14)/('Portfolio equity assets '!H14+('Market Cap'!H14/1000000)-'Portfolio equity liabilities '!H14)</f>
        <v>0.71437381613797757</v>
      </c>
      <c r="I12">
        <f>1-('Portfolio equity assets '!I14)/('Portfolio equity assets '!I14+('Market Cap'!I14/1000000)-'Portfolio equity liabilities '!I14)</f>
        <v>0.66339972142600079</v>
      </c>
      <c r="J12">
        <f>1-('Portfolio equity assets '!J14)/('Portfolio equity assets '!J14+('Market Cap'!J14/1000000)-'Portfolio equity liabilities '!J14)</f>
        <v>0.60361974076680236</v>
      </c>
      <c r="K12">
        <f>1-('Portfolio equity assets '!K14)/('Portfolio equity assets '!K14+('Market Cap'!K14/1000000)-'Portfolio equity liabilities '!K14)</f>
        <v>0.56337930590761098</v>
      </c>
      <c r="L12">
        <f>1-('Portfolio equity assets '!L14)/('Portfolio equity assets '!L14+('Market Cap'!L14/1000000)-'Portfolio equity liabilities '!L14)</f>
        <v>0.54297561559206942</v>
      </c>
      <c r="M12">
        <f>1-('Portfolio equity assets '!M14)/('Portfolio equity assets '!M14+('Market Cap'!M14/1000000)-'Portfolio equity liabilities '!M14)</f>
        <v>0.54717496024563861</v>
      </c>
      <c r="N12">
        <f>1-('Portfolio equity assets '!N14)/('Portfolio equity assets '!N14+('Market Cap'!N14/1000000)-'Portfolio equity liabilities '!N14)</f>
        <v>0.53827278721977134</v>
      </c>
      <c r="O12">
        <f>1-('Portfolio equity assets '!O14)/('Portfolio equity assets '!O14+('Market Cap'!O14/1000000)-'Portfolio equity liabilities '!O14)</f>
        <v>0.52760099602301436</v>
      </c>
      <c r="P12">
        <f>1-('Portfolio equity assets '!P14)/('Portfolio equity assets '!P14+('Market Cap'!P14/1000000)-'Portfolio equity liabilities '!P14)</f>
        <v>0.51864096468748577</v>
      </c>
      <c r="Q12">
        <f>1-('Portfolio equity assets '!Q14)/('Portfolio equity assets '!Q14+('Market Cap'!Q14/1000000)-'Portfolio equity liabilities '!Q14)</f>
        <v>0.50295100546709248</v>
      </c>
      <c r="R12">
        <f>1-('Portfolio equity assets '!R14)/('Portfolio equity assets '!R14+('Market Cap'!R14/1000000)-'Portfolio equity liabilities '!R14)</f>
        <v>0.14520615367895284</v>
      </c>
      <c r="S12">
        <f>1-('Portfolio equity assets '!S14)/('Portfolio equity assets '!S14+('Market Cap'!S14/1000000)-'Portfolio equity liabilities '!S14)</f>
        <v>0.18943751229286532</v>
      </c>
    </row>
    <row r="13" spans="1:19" x14ac:dyDescent="0.3">
      <c r="A13" s="4" t="s">
        <v>14</v>
      </c>
      <c r="B13">
        <f>1-('Portfolio equity assets '!B15)/('Portfolio equity assets '!B15+('Market Cap'!B15/1000000)-'Portfolio equity liabilities '!B15)</f>
        <v>0.96301914740684946</v>
      </c>
      <c r="C13">
        <f>1-('Portfolio equity assets '!C15)/('Portfolio equity assets '!C15+('Market Cap'!C15/1000000)-'Portfolio equity liabilities '!C15)</f>
        <v>0.96682080248439861</v>
      </c>
      <c r="D13">
        <f>1-('Portfolio equity assets '!D15)/('Portfolio equity assets '!D15+('Market Cap'!D15/1000000)-'Portfolio equity liabilities '!D15)</f>
        <v>0.95829782321350543</v>
      </c>
      <c r="E13">
        <f>1-('Portfolio equity assets '!E15)/('Portfolio equity assets '!E15+('Market Cap'!E15/1000000)-'Portfolio equity liabilities '!E15)</f>
        <v>0.9470922981629476</v>
      </c>
      <c r="F13">
        <f>1-('Portfolio equity assets '!F15)/('Portfolio equity assets '!F15+('Market Cap'!F15/1000000)-'Portfolio equity liabilities '!F15)</f>
        <v>0.92431837413155349</v>
      </c>
      <c r="G13">
        <f>1-('Portfolio equity assets '!G15)/('Portfolio equity assets '!G15+('Market Cap'!G15/1000000)-'Portfolio equity liabilities '!G15)</f>
        <v>0.91286323730266516</v>
      </c>
      <c r="H13">
        <f>1-('Portfolio equity assets '!H15)/('Portfolio equity assets '!H15+('Market Cap'!H15/1000000)-'Portfolio equity liabilities '!H15)</f>
        <v>0.92875968401787135</v>
      </c>
      <c r="I13">
        <f>1-('Portfolio equity assets '!I15)/('Portfolio equity assets '!I15+('Market Cap'!I15/1000000)-'Portfolio equity liabilities '!I15)</f>
        <v>0.90859889700523921</v>
      </c>
      <c r="J13">
        <f>1-('Portfolio equity assets '!J15)/('Portfolio equity assets '!J15+('Market Cap'!J15/1000000)-'Portfolio equity liabilities '!J15)</f>
        <v>0.89189788837191364</v>
      </c>
      <c r="K13">
        <f>1-('Portfolio equity assets '!K15)/('Portfolio equity assets '!K15+('Market Cap'!K15/1000000)-'Portfolio equity liabilities '!K15)</f>
        <v>0.89443066469521348</v>
      </c>
      <c r="L13">
        <f>1-('Portfolio equity assets '!L15)/('Portfolio equity assets '!L15+('Market Cap'!L15/1000000)-'Portfolio equity liabilities '!L15)</f>
        <v>0.90034563783818156</v>
      </c>
      <c r="M13">
        <f>1-('Portfolio equity assets '!M15)/('Portfolio equity assets '!M15+('Market Cap'!M15/1000000)-'Portfolio equity liabilities '!M15)</f>
        <v>0.88947580620687605</v>
      </c>
      <c r="N13">
        <f>1-('Portfolio equity assets '!N15)/('Portfolio equity assets '!N15+('Market Cap'!N15/1000000)-'Portfolio equity liabilities '!N15)</f>
        <v>0.89833967629299749</v>
      </c>
      <c r="O13">
        <f>1-('Portfolio equity assets '!O15)/('Portfolio equity assets '!O15+('Market Cap'!O15/1000000)-'Portfolio equity liabilities '!O15)</f>
        <v>0.87180981581691364</v>
      </c>
      <c r="P13">
        <f>1-('Portfolio equity assets '!P15)/('Portfolio equity assets '!P15+('Market Cap'!P15/1000000)-'Portfolio equity liabilities '!P15)</f>
        <v>0.84833082025322359</v>
      </c>
      <c r="Q13">
        <f>1-('Portfolio equity assets '!Q15)/('Portfolio equity assets '!Q15+('Market Cap'!Q15/1000000)-'Portfolio equity liabilities '!Q15)</f>
        <v>0.86195217892528375</v>
      </c>
      <c r="R13">
        <f>1-('Portfolio equity assets '!R15)/('Portfolio equity assets '!R15+('Market Cap'!R15/1000000)-'Portfolio equity liabilities '!R15)</f>
        <v>0.8109571589040554</v>
      </c>
      <c r="S13">
        <f>1-('Portfolio equity assets '!S15)/('Portfolio equity assets '!S15+('Market Cap'!S15/1000000)-'Portfolio equity liabilities '!S15)</f>
        <v>0.82094717360600877</v>
      </c>
    </row>
    <row r="14" spans="1:19" x14ac:dyDescent="0.3">
      <c r="A14" s="4" t="s">
        <v>15</v>
      </c>
      <c r="B14">
        <f>1-('Portfolio equity assets '!B16)/('Portfolio equity assets '!B16+('Market Cap'!B16/1000000)-'Portfolio equity liabilities '!B16)</f>
        <v>0.98842522234622054</v>
      </c>
      <c r="C14">
        <f>1-('Portfolio equity assets '!C16)/('Portfolio equity assets '!C16+('Market Cap'!C16/1000000)-'Portfolio equity liabilities '!C16)</f>
        <v>0.98150235258400276</v>
      </c>
      <c r="D14">
        <f>1-('Portfolio equity assets '!D16)/('Portfolio equity assets '!D16+('Market Cap'!D16/1000000)-'Portfolio equity liabilities '!D16)</f>
        <v>0.96780295584471265</v>
      </c>
      <c r="E14">
        <f>1-('Portfolio equity assets '!E16)/('Portfolio equity assets '!E16+('Market Cap'!E16/1000000)-'Portfolio equity liabilities '!E16)</f>
        <v>0.96994374057871069</v>
      </c>
      <c r="F14">
        <f>1-('Portfolio equity assets '!F16)/('Portfolio equity assets '!F16+('Market Cap'!F16/1000000)-'Portfolio equity liabilities '!F16)</f>
        <v>0.97340531091238813</v>
      </c>
      <c r="G14">
        <f>1-('Portfolio equity assets '!G16)/('Portfolio equity assets '!G16+('Market Cap'!G16/1000000)-'Portfolio equity liabilities '!G16)</f>
        <v>0.94771672941578367</v>
      </c>
      <c r="H14">
        <f>1-('Portfolio equity assets '!H16)/('Portfolio equity assets '!H16+('Market Cap'!H16/1000000)-'Portfolio equity liabilities '!H16)</f>
        <v>0.9653303566430268</v>
      </c>
      <c r="I14">
        <f>1-('Portfolio equity assets '!I16)/('Portfolio equity assets '!I16+('Market Cap'!I16/1000000)-'Portfolio equity liabilities '!I16)</f>
        <v>0.96465169432142295</v>
      </c>
      <c r="J14">
        <f>1-('Portfolio equity assets '!J16)/('Portfolio equity assets '!J16+('Market Cap'!J16/1000000)-'Portfolio equity liabilities '!J16)</f>
        <v>0.90048092887833342</v>
      </c>
      <c r="K14">
        <f>1-('Portfolio equity assets '!K16)/('Portfolio equity assets '!K16+('Market Cap'!K16/1000000)-'Portfolio equity liabilities '!K16)</f>
        <v>0.89431265589913866</v>
      </c>
      <c r="L14">
        <f>1-('Portfolio equity assets '!L16)/('Portfolio equity assets '!L16+('Market Cap'!L16/1000000)-'Portfolio equity liabilities '!L16)</f>
        <v>0.8751491204429197</v>
      </c>
      <c r="M14">
        <f>1-('Portfolio equity assets '!M16)/('Portfolio equity assets '!M16+('Market Cap'!M16/1000000)-'Portfolio equity liabilities '!M16)</f>
        <v>0.8928965300462508</v>
      </c>
      <c r="N14">
        <f>1-('Portfolio equity assets '!N16)/('Portfolio equity assets '!N16+('Market Cap'!N16/1000000)-'Portfolio equity liabilities '!N16)</f>
        <v>0.90752836457989805</v>
      </c>
      <c r="O14">
        <f>1-('Portfolio equity assets '!O16)/('Portfolio equity assets '!O16+('Market Cap'!O16/1000000)-'Portfolio equity liabilities '!O16)</f>
        <v>0.92116748163675666</v>
      </c>
      <c r="P14">
        <f>1-('Portfolio equity assets '!P16)/('Portfolio equity assets '!P16+('Market Cap'!P16/1000000)-'Portfolio equity liabilities '!P16)</f>
        <v>0.93042418330780929</v>
      </c>
      <c r="Q14">
        <f>1-('Portfolio equity assets '!Q16)/('Portfolio equity assets '!Q16+('Market Cap'!Q16/1000000)-'Portfolio equity liabilities '!Q16)</f>
        <v>0.89027090167900413</v>
      </c>
      <c r="R14">
        <f>1-('Portfolio equity assets '!R16)/('Portfolio equity assets '!R16+('Market Cap'!R16/1000000)-'Portfolio equity liabilities '!R16)</f>
        <v>0.93434921249883363</v>
      </c>
      <c r="S14">
        <f>1-('Portfolio equity assets '!S16)/('Portfolio equity assets '!S16+('Market Cap'!S16/1000000)-'Portfolio equity liabilities '!S16)</f>
        <v>0.93148299565965298</v>
      </c>
    </row>
    <row r="15" spans="1:19" x14ac:dyDescent="0.3">
      <c r="A15" s="4" t="s">
        <v>16</v>
      </c>
      <c r="B15">
        <f>1-('Portfolio equity assets '!B17)/('Portfolio equity assets '!B17+('Market Cap'!B17/1000000)-'Portfolio equity liabilities '!B17)</f>
        <v>0.60000238465826083</v>
      </c>
      <c r="C15">
        <f>1-('Portfolio equity assets '!C17)/('Portfolio equity assets '!C17+('Market Cap'!C17/1000000)-'Portfolio equity liabilities '!C17)</f>
        <v>0.72577974164088965</v>
      </c>
      <c r="D15">
        <f>1-('Portfolio equity assets '!D17)/('Portfolio equity assets '!D17+('Market Cap'!D17/1000000)-'Portfolio equity liabilities '!D17)</f>
        <v>0.71173462470226312</v>
      </c>
      <c r="E15">
        <f>1-('Portfolio equity assets '!E17)/('Portfolio equity assets '!E17+('Market Cap'!E17/1000000)-'Portfolio equity liabilities '!E17)</f>
        <v>0.64893002265883248</v>
      </c>
      <c r="F15">
        <f>1-('Portfolio equity assets '!F17)/('Portfolio equity assets '!F17+('Market Cap'!F17/1000000)-'Portfolio equity liabilities '!F17)</f>
        <v>0.66296513558570513</v>
      </c>
      <c r="G15">
        <f>1-('Portfolio equity assets '!G17)/('Portfolio equity assets '!G17+('Market Cap'!G17/1000000)-'Portfolio equity liabilities '!G17)</f>
        <v>0.62975431196956011</v>
      </c>
      <c r="H15">
        <f>1-('Portfolio equity assets '!H17)/('Portfolio equity assets '!H17+('Market Cap'!H17/1000000)-'Portfolio equity liabilities '!H17)</f>
        <v>0.57057640074829341</v>
      </c>
      <c r="I15">
        <f>1-('Portfolio equity assets '!I17)/('Portfolio equity assets '!I17+('Market Cap'!I17/1000000)-'Portfolio equity liabilities '!I17)</f>
        <v>0.53339228420541562</v>
      </c>
      <c r="J15">
        <f>1-('Portfolio equity assets '!J17)/('Portfolio equity assets '!J17+('Market Cap'!J17/1000000)-'Portfolio equity liabilities '!J17)</f>
        <v>0.42574509747202216</v>
      </c>
      <c r="K15">
        <f>1-('Portfolio equity assets '!K17)/('Portfolio equity assets '!K17+('Market Cap'!K17/1000000)-'Portfolio equity liabilities '!K17)</f>
        <v>0.3903915301869948</v>
      </c>
      <c r="L15">
        <f>1-('Portfolio equity assets '!L17)/('Portfolio equity assets '!L17+('Market Cap'!L17/1000000)-'Portfolio equity liabilities '!L17)</f>
        <v>0.3147468049188612</v>
      </c>
      <c r="M15">
        <f>1-('Portfolio equity assets '!M17)/('Portfolio equity assets '!M17+('Market Cap'!M17/1000000)-'Portfolio equity liabilities '!M17)</f>
        <v>0.26118894877561427</v>
      </c>
      <c r="N15">
        <f>1-('Portfolio equity assets '!N17)/('Portfolio equity assets '!N17+('Market Cap'!N17/1000000)-'Portfolio equity liabilities '!N17)</f>
        <v>8.551851519916065E-2</v>
      </c>
      <c r="O15">
        <f>1-('Portfolio equity assets '!O17)/('Portfolio equity assets '!O17+('Market Cap'!O17/1000000)-'Portfolio equity liabilities '!O17)</f>
        <v>0.12315875121802933</v>
      </c>
      <c r="P15">
        <f>1-('Portfolio equity assets '!P17)/('Portfolio equity assets '!P17+('Market Cap'!P17/1000000)-'Portfolio equity liabilities '!P17)</f>
        <v>0.28901289798314123</v>
      </c>
      <c r="Q15">
        <f>1-('Portfolio equity assets '!Q17)/('Portfolio equity assets '!Q17+('Market Cap'!Q17/1000000)-'Portfolio equity liabilities '!Q17)</f>
        <v>6.180852448128249E-2</v>
      </c>
      <c r="R15">
        <f>1-('Portfolio equity assets '!R17)/('Portfolio equity assets '!R17+('Market Cap'!R17/1000000)-'Portfolio equity liabilities '!R17)</f>
        <v>0.1062630147457031</v>
      </c>
      <c r="S15">
        <f>1-('Portfolio equity assets '!S17)/('Portfolio equity assets '!S17+('Market Cap'!S17/1000000)-'Portfolio equity liabilities '!S17)</f>
        <v>0.19167581972108094</v>
      </c>
    </row>
    <row r="16" spans="1:19" x14ac:dyDescent="0.3">
      <c r="A16" s="4" t="s">
        <v>17</v>
      </c>
      <c r="B16">
        <f>1-('Portfolio equity assets '!B18)/('Portfolio equity assets '!B18+('Market Cap'!B18/1000000)-'Portfolio equity liabilities '!B18)</f>
        <v>0.97199158242996808</v>
      </c>
      <c r="C16">
        <f>1-('Portfolio equity assets '!C18)/('Portfolio equity assets '!C18+('Market Cap'!C18/1000000)-'Portfolio equity liabilities '!C18)</f>
        <v>0.95965943353815653</v>
      </c>
      <c r="D16">
        <f>1-('Portfolio equity assets '!D18)/('Portfolio equity assets '!D18+('Market Cap'!D18/1000000)-'Portfolio equity liabilities '!D18)</f>
        <v>0.9542721270139245</v>
      </c>
      <c r="E16">
        <f>1-('Portfolio equity assets '!E18)/('Portfolio equity assets '!E18+('Market Cap'!E18/1000000)-'Portfolio equity liabilities '!E18)</f>
        <v>0.87094596167867189</v>
      </c>
      <c r="F16">
        <f>1-('Portfolio equity assets '!F18)/('Portfolio equity assets '!F18+('Market Cap'!F18/1000000)-'Portfolio equity liabilities '!F18)</f>
        <v>0.84910304671774783</v>
      </c>
      <c r="G16">
        <f>1-('Portfolio equity assets '!G18)/('Portfolio equity assets '!G18+('Market Cap'!G18/1000000)-'Portfolio equity liabilities '!G18)</f>
        <v>0.80519607431477236</v>
      </c>
      <c r="H16">
        <f>1-('Portfolio equity assets '!H18)/('Portfolio equity assets '!H18+('Market Cap'!H18/1000000)-'Portfolio equity liabilities '!H18)</f>
        <v>0.82273935994670522</v>
      </c>
      <c r="I16">
        <f>1-('Portfolio equity assets '!I18)/('Portfolio equity assets '!I18+('Market Cap'!I18/1000000)-'Portfolio equity liabilities '!I18)</f>
        <v>0.68373282969765037</v>
      </c>
      <c r="J16">
        <f>1-('Portfolio equity assets '!J18)/('Portfolio equity assets '!J18+('Market Cap'!J18/1000000)-'Portfolio equity liabilities '!J18)</f>
        <v>0.53819717100359976</v>
      </c>
      <c r="K16">
        <f>1-('Portfolio equity assets '!K18)/('Portfolio equity assets '!K18+('Market Cap'!K18/1000000)-'Portfolio equity liabilities '!K18)</f>
        <v>0.55599921149562348</v>
      </c>
      <c r="L16">
        <f>1-('Portfolio equity assets '!L18)/('Portfolio equity assets '!L18+('Market Cap'!L18/1000000)-'Portfolio equity liabilities '!L18)</f>
        <v>0.57399340093331652</v>
      </c>
      <c r="M16">
        <f>1-('Portfolio equity assets '!M18)/('Portfolio equity assets '!M18+('Market Cap'!M18/1000000)-'Portfolio equity liabilities '!M18)</f>
        <v>0.5846438345644227</v>
      </c>
      <c r="N16">
        <f>1-('Portfolio equity assets '!N18)/('Portfolio equity assets '!N18+('Market Cap'!N18/1000000)-'Portfolio equity liabilities '!N18)</f>
        <v>0.55786322175351422</v>
      </c>
      <c r="O16">
        <f>1-('Portfolio equity assets '!O18)/('Portfolio equity assets '!O18+('Market Cap'!O18/1000000)-'Portfolio equity liabilities '!O18)</f>
        <v>0.52406237705994196</v>
      </c>
      <c r="P16">
        <f>1-('Portfolio equity assets '!P18)/('Portfolio equity assets '!P18+('Market Cap'!P18/1000000)-'Portfolio equity liabilities '!P18)</f>
        <v>0.48876637166442261</v>
      </c>
      <c r="Q16">
        <f>1-('Portfolio equity assets '!Q18)/('Portfolio equity assets '!Q18+('Market Cap'!Q18/1000000)-'Portfolio equity liabilities '!Q18)</f>
        <v>0.48870663071969578</v>
      </c>
      <c r="R16">
        <f>1-('Portfolio equity assets '!R18)/('Portfolio equity assets '!R18+('Market Cap'!R18/1000000)-'Portfolio equity liabilities '!R18)</f>
        <v>0.66087706202955143</v>
      </c>
      <c r="S16">
        <f>1-('Portfolio equity assets '!S18)/('Portfolio equity assets '!S18+('Market Cap'!S18/1000000)-'Portfolio equity liabilities '!S18)</f>
        <v>0.43542262583499391</v>
      </c>
    </row>
    <row r="17" spans="1:19" x14ac:dyDescent="0.3">
      <c r="A17" s="4" t="s">
        <v>18</v>
      </c>
      <c r="B17">
        <f>1-('Portfolio equity assets '!B19)/('Portfolio equity assets '!B19+('Market Cap'!B19/1000000)-'Portfolio equity liabilities '!B19)</f>
        <v>0.77774423245651525</v>
      </c>
      <c r="C17">
        <f>1-('Portfolio equity assets '!C19)/('Portfolio equity assets '!C19+('Market Cap'!C19/1000000)-'Portfolio equity liabilities '!C19)</f>
        <v>0.8287565697816407</v>
      </c>
      <c r="D17">
        <f>1-('Portfolio equity assets '!D19)/('Portfolio equity assets '!D19+('Market Cap'!D19/1000000)-'Portfolio equity liabilities '!D19)</f>
        <v>0.82689920241425063</v>
      </c>
      <c r="E17">
        <f>1-('Portfolio equity assets '!E19)/('Portfolio equity assets '!E19+('Market Cap'!E19/1000000)-'Portfolio equity liabilities '!E19)</f>
        <v>0.81639068549953531</v>
      </c>
      <c r="F17">
        <f>1-('Portfolio equity assets '!F19)/('Portfolio equity assets '!F19+('Market Cap'!F19/1000000)-'Portfolio equity liabilities '!F19)</f>
        <v>0.79320139325972039</v>
      </c>
      <c r="G17">
        <f>1-('Portfolio equity assets '!G19)/('Portfolio equity assets '!G19+('Market Cap'!G19/1000000)-'Portfolio equity liabilities '!G19)</f>
        <v>0.58087812640688308</v>
      </c>
      <c r="H17">
        <f>1-('Portfolio equity assets '!H19)/('Portfolio equity assets '!H19+('Market Cap'!H19/1000000)-'Portfolio equity liabilities '!H19)</f>
        <v>0.58436427269170332</v>
      </c>
      <c r="I17">
        <f>1-('Portfolio equity assets '!I19)/('Portfolio equity assets '!I19+('Market Cap'!I19/1000000)-'Portfolio equity liabilities '!I19)</f>
        <v>0.52974729487227079</v>
      </c>
      <c r="J17">
        <f>1-('Portfolio equity assets '!J19)/('Portfolio equity assets '!J19+('Market Cap'!J19/1000000)-'Portfolio equity liabilities '!J19)</f>
        <v>0.56078256941936</v>
      </c>
      <c r="K17">
        <f>1-('Portfolio equity assets '!K19)/('Portfolio equity assets '!K19+('Market Cap'!K19/1000000)-'Portfolio equity liabilities '!K19)</f>
        <v>0.48399112235246156</v>
      </c>
      <c r="L17">
        <f>1-('Portfolio equity assets '!L19)/('Portfolio equity assets '!L19+('Market Cap'!L19/1000000)-'Portfolio equity liabilities '!L19)</f>
        <v>0.48588419478732769</v>
      </c>
      <c r="M17">
        <f>1-('Portfolio equity assets '!M19)/('Portfolio equity assets '!M19+('Market Cap'!M19/1000000)-'Portfolio equity liabilities '!M19)</f>
        <v>0.50359620029195185</v>
      </c>
      <c r="N17">
        <f>1-('Portfolio equity assets '!N19)/('Portfolio equity assets '!N19+('Market Cap'!N19/1000000)-'Portfolio equity liabilities '!N19)</f>
        <v>0.51195663376710387</v>
      </c>
      <c r="O17">
        <f>1-('Portfolio equity assets '!O19)/('Portfolio equity assets '!O19+('Market Cap'!O19/1000000)-'Portfolio equity liabilities '!O19)</f>
        <v>0.50751067011847506</v>
      </c>
      <c r="P17">
        <f>1-('Portfolio equity assets '!P19)/('Portfolio equity assets '!P19+('Market Cap'!P19/1000000)-'Portfolio equity liabilities '!P19)</f>
        <v>0.47480015498685968</v>
      </c>
      <c r="Q17">
        <f>1-('Portfolio equity assets '!Q19)/('Portfolio equity assets '!Q19+('Market Cap'!Q19/1000000)-'Portfolio equity liabilities '!Q19)</f>
        <v>0.29520137975426142</v>
      </c>
      <c r="R17">
        <f>1-('Portfolio equity assets '!R19)/('Portfolio equity assets '!R19+('Market Cap'!R19/1000000)-'Portfolio equity liabilities '!R19)</f>
        <v>0.29890396105249006</v>
      </c>
      <c r="S17">
        <f>1-('Portfolio equity assets '!S19)/('Portfolio equity assets '!S19+('Market Cap'!S19/1000000)-'Portfolio equity liabilities '!S19)</f>
        <v>0.2859992548671626</v>
      </c>
    </row>
    <row r="18" spans="1:19" x14ac:dyDescent="0.3">
      <c r="A18" s="4" t="s">
        <v>19</v>
      </c>
      <c r="B18">
        <f>1-('Portfolio equity assets '!B20)/('Portfolio equity assets '!B20+('Market Cap'!B20/1000000)-'Portfolio equity liabilities '!B20)</f>
        <v>0.89787658372585732</v>
      </c>
      <c r="C18">
        <f>1-('Portfolio equity assets '!C20)/('Portfolio equity assets '!C20+('Market Cap'!C20/1000000)-'Portfolio equity liabilities '!C20)</f>
        <v>0.89544953203904432</v>
      </c>
      <c r="D18">
        <f>1-('Portfolio equity assets '!D20)/('Portfolio equity assets '!D20+('Market Cap'!D20/1000000)-'Portfolio equity liabilities '!D20)</f>
        <v>0.83801426278424129</v>
      </c>
      <c r="E18">
        <f>1-('Portfolio equity assets '!E20)/('Portfolio equity assets '!E20+('Market Cap'!E20/1000000)-'Portfolio equity liabilities '!E20)</f>
        <v>0.79301334374866017</v>
      </c>
      <c r="F18">
        <f>1-('Portfolio equity assets '!F20)/('Portfolio equity assets '!F20+('Market Cap'!F20/1000000)-'Portfolio equity liabilities '!F20)</f>
        <v>0.846778648857202</v>
      </c>
      <c r="G18">
        <f>1-('Portfolio equity assets '!G20)/('Portfolio equity assets '!G20+('Market Cap'!G20/1000000)-'Portfolio equity liabilities '!G20)</f>
        <v>0.88021740323994357</v>
      </c>
      <c r="H18">
        <f>1-('Portfolio equity assets '!H20)/('Portfolio equity assets '!H20+('Market Cap'!H20/1000000)-'Portfolio equity liabilities '!H20)</f>
        <v>0.84182627471714921</v>
      </c>
      <c r="I18">
        <f>1-('Portfolio equity assets '!I20)/('Portfolio equity assets '!I20+('Market Cap'!I20/1000000)-'Portfolio equity liabilities '!I20)</f>
        <v>0.81992639505040343</v>
      </c>
      <c r="J18">
        <f>1-('Portfolio equity assets '!J20)/('Portfolio equity assets '!J20+('Market Cap'!J20/1000000)-'Portfolio equity liabilities '!J20)</f>
        <v>0.77064852224502678</v>
      </c>
      <c r="K18">
        <f>1-('Portfolio equity assets '!K20)/('Portfolio equity assets '!K20+('Market Cap'!K20/1000000)-'Portfolio equity liabilities '!K20)</f>
        <v>0.7103988049568648</v>
      </c>
      <c r="L18">
        <f>1-('Portfolio equity assets '!L20)/('Portfolio equity assets '!L20+('Market Cap'!L20/1000000)-'Portfolio equity liabilities '!L20)</f>
        <v>0.62621112882180729</v>
      </c>
      <c r="M18">
        <f>1-('Portfolio equity assets '!M20)/('Portfolio equity assets '!M20+('Market Cap'!M20/1000000)-'Portfolio equity liabilities '!M20)</f>
        <v>0.51003591058595799</v>
      </c>
      <c r="N18">
        <f>1-('Portfolio equity assets '!N20)/('Portfolio equity assets '!N20+('Market Cap'!N20/1000000)-'Portfolio equity liabilities '!N20)</f>
        <v>0.34008123298549087</v>
      </c>
      <c r="O18">
        <f>1-('Portfolio equity assets '!O20)/('Portfolio equity assets '!O20+('Market Cap'!O20/1000000)-'Portfolio equity liabilities '!O20)</f>
        <v>0.46685820059540928</v>
      </c>
      <c r="P18">
        <f>1-('Portfolio equity assets '!P20)/('Portfolio equity assets '!P20+('Market Cap'!P20/1000000)-'Portfolio equity liabilities '!P20)</f>
        <v>0.49442022571469313</v>
      </c>
      <c r="Q18">
        <f>1-('Portfolio equity assets '!Q20)/('Portfolio equity assets '!Q20+('Market Cap'!Q20/1000000)-'Portfolio equity liabilities '!Q20)</f>
        <v>0.11073645685403</v>
      </c>
      <c r="R18">
        <f>1-('Portfolio equity assets '!R20)/('Portfolio equity assets '!R20+('Market Cap'!R20/1000000)-'Portfolio equity liabilities '!R20)</f>
        <v>0.35078920208480024</v>
      </c>
      <c r="S18">
        <f>1-('Portfolio equity assets '!S20)/('Portfolio equity assets '!S20+('Market Cap'!S20/1000000)-'Portfolio equity liabilities '!S20)</f>
        <v>0.27497185132011914</v>
      </c>
    </row>
    <row r="19" spans="1:19" x14ac:dyDescent="0.3">
      <c r="A19" s="4" t="s">
        <v>20</v>
      </c>
      <c r="B19">
        <f>1-('Portfolio equity assets '!B21)/('Portfolio equity assets '!B21+('Market Cap'!B21/1000000)-'Portfolio equity liabilities '!B21)</f>
        <v>0.94186600042377733</v>
      </c>
      <c r="C19">
        <f>1-('Portfolio equity assets '!C21)/('Portfolio equity assets '!C21+('Market Cap'!C21/1000000)-'Portfolio equity liabilities '!C21)</f>
        <v>0.94813913376794279</v>
      </c>
      <c r="D19">
        <f>1-('Portfolio equity assets '!D21)/('Portfolio equity assets '!D21+('Market Cap'!D21/1000000)-'Portfolio equity liabilities '!D21)</f>
        <v>0.94872539137282064</v>
      </c>
      <c r="E19">
        <f>1-('Portfolio equity assets '!E21)/('Portfolio equity assets '!E21+('Market Cap'!E21/1000000)-'Portfolio equity liabilities '!E21)</f>
        <v>0.94995312853891045</v>
      </c>
      <c r="F19">
        <f>1-('Portfolio equity assets '!F21)/('Portfolio equity assets '!F21+('Market Cap'!F21/1000000)-'Portfolio equity liabilities '!F21)</f>
        <v>0.91604819096795564</v>
      </c>
      <c r="G19">
        <f>1-('Portfolio equity assets '!G21)/('Portfolio equity assets '!G21+('Market Cap'!G21/1000000)-'Portfolio equity liabilities '!G21)</f>
        <v>0.89619951951403332</v>
      </c>
      <c r="H19">
        <f>1-('Portfolio equity assets '!H21)/('Portfolio equity assets '!H21+('Market Cap'!H21/1000000)-'Portfolio equity liabilities '!H21)</f>
        <v>0.80930134416705568</v>
      </c>
      <c r="I19">
        <f>1-('Portfolio equity assets '!I21)/('Portfolio equity assets '!I21+('Market Cap'!I21/1000000)-'Portfolio equity liabilities '!I21)</f>
        <v>0.80298134857896708</v>
      </c>
      <c r="J19">
        <f>1-('Portfolio equity assets '!J21)/('Portfolio equity assets '!J21+('Market Cap'!J21/1000000)-'Portfolio equity liabilities '!J21)</f>
        <v>0.8384350462009329</v>
      </c>
      <c r="K19">
        <f>1-('Portfolio equity assets '!K21)/('Portfolio equity assets '!K21+('Market Cap'!K21/1000000)-'Portfolio equity liabilities '!K21)</f>
        <v>0.86553877506430388</v>
      </c>
      <c r="L19">
        <f>1-('Portfolio equity assets '!L21)/('Portfolio equity assets '!L21+('Market Cap'!L21/1000000)-'Portfolio equity liabilities '!L21)</f>
        <v>0.869488184442476</v>
      </c>
      <c r="M19">
        <f>1-('Portfolio equity assets '!M21)/('Portfolio equity assets '!M21+('Market Cap'!M21/1000000)-'Portfolio equity liabilities '!M21)</f>
        <v>0.86236665570579429</v>
      </c>
      <c r="N19">
        <f>1-('Portfolio equity assets '!N21)/('Portfolio equity assets '!N21+('Market Cap'!N21/1000000)-'Portfolio equity liabilities '!N21)</f>
        <v>0.84900889153046766</v>
      </c>
      <c r="O19">
        <f>1-('Portfolio equity assets '!O21)/('Portfolio equity assets '!O21+('Market Cap'!O21/1000000)-'Portfolio equity liabilities '!O21)</f>
        <v>0.84229912651733951</v>
      </c>
      <c r="P19">
        <f>1-('Portfolio equity assets '!P21)/('Portfolio equity assets '!P21+('Market Cap'!P21/1000000)-'Portfolio equity liabilities '!P21)</f>
        <v>0.86816506119305514</v>
      </c>
      <c r="Q19">
        <f>1-('Portfolio equity assets '!Q21)/('Portfolio equity assets '!Q21+('Market Cap'!Q21/1000000)-'Portfolio equity liabilities '!Q21)</f>
        <v>0.88207298227011366</v>
      </c>
      <c r="R19">
        <f>1-('Portfolio equity assets '!R21)/('Portfolio equity assets '!R21+('Market Cap'!R21/1000000)-'Portfolio equity liabilities '!R21)</f>
        <v>0.88712558250481899</v>
      </c>
      <c r="S19">
        <f>1-('Portfolio equity assets '!S21)/('Portfolio equity assets '!S21+('Market Cap'!S21/1000000)-'Portfolio equity liabilities '!S21)</f>
        <v>0.87097726763896322</v>
      </c>
    </row>
    <row r="20" spans="1:19" x14ac:dyDescent="0.3">
      <c r="A20" s="4" t="s">
        <v>21</v>
      </c>
      <c r="B20">
        <f>1-('Portfolio equity assets '!B22)/('Portfolio equity assets '!B22+('Market Cap'!B22/1000000)-'Portfolio equity liabilities '!B22)</f>
        <v>0.85040628895026926</v>
      </c>
      <c r="C20">
        <f>1-('Portfolio equity assets '!C22)/('Portfolio equity assets '!C22+('Market Cap'!C22/1000000)-'Portfolio equity liabilities '!C22)</f>
        <v>0.83905351537861872</v>
      </c>
      <c r="D20">
        <f>1-('Portfolio equity assets '!D22)/('Portfolio equity assets '!D22+('Market Cap'!D22/1000000)-'Portfolio equity liabilities '!D22)</f>
        <v>0.81381980807278687</v>
      </c>
      <c r="E20">
        <f>1-('Portfolio equity assets '!E22)/('Portfolio equity assets '!E22+('Market Cap'!E22/1000000)-'Portfolio equity liabilities '!E22)</f>
        <v>0.81991436912064208</v>
      </c>
      <c r="F20">
        <f>1-('Portfolio equity assets '!F22)/('Portfolio equity assets '!F22+('Market Cap'!F22/1000000)-'Portfolio equity liabilities '!F22)</f>
        <v>0.79040217781524713</v>
      </c>
      <c r="G20">
        <f>1-('Portfolio equity assets '!G22)/('Portfolio equity assets '!G22+('Market Cap'!G22/1000000)-'Portfolio equity liabilities '!G22)</f>
        <v>0.7217181699825963</v>
      </c>
      <c r="H20">
        <f>1-('Portfolio equity assets '!H22)/('Portfolio equity assets '!H22+('Market Cap'!H22/1000000)-'Portfolio equity liabilities '!H22)</f>
        <v>0.68372433760796048</v>
      </c>
      <c r="I20">
        <f>1-('Portfolio equity assets '!I22)/('Portfolio equity assets '!I22+('Market Cap'!I22/1000000)-'Portfolio equity liabilities '!I22)</f>
        <v>0.67263165897793109</v>
      </c>
      <c r="J20">
        <f>1-('Portfolio equity assets '!J22)/('Portfolio equity assets '!J22+('Market Cap'!J22/1000000)-'Portfolio equity liabilities '!J22)</f>
        <v>0.60076516475436748</v>
      </c>
      <c r="K20">
        <f>1-('Portfolio equity assets '!K22)/('Portfolio equity assets '!K22+('Market Cap'!K22/1000000)-'Portfolio equity liabilities '!K22)</f>
        <v>0.56452183644375464</v>
      </c>
      <c r="L20">
        <f>1-('Portfolio equity assets '!L22)/('Portfolio equity assets '!L22+('Market Cap'!L22/1000000)-'Portfolio equity liabilities '!L22)</f>
        <v>0.58400869293597912</v>
      </c>
      <c r="M20">
        <f>1-('Portfolio equity assets '!M22)/('Portfolio equity assets '!M22+('Market Cap'!M22/1000000)-'Portfolio equity liabilities '!M22)</f>
        <v>0.58500783413581181</v>
      </c>
      <c r="N20">
        <f>1-('Portfolio equity assets '!N22)/('Portfolio equity assets '!N22+('Market Cap'!N22/1000000)-'Portfolio equity liabilities '!N22)</f>
        <v>0.56501818332561127</v>
      </c>
      <c r="O20">
        <f>1-('Portfolio equity assets '!O22)/('Portfolio equity assets '!O22+('Market Cap'!O22/1000000)-'Portfolio equity liabilities '!O22)</f>
        <v>0.58376776123749652</v>
      </c>
      <c r="P20">
        <f>1-('Portfolio equity assets '!P22)/('Portfolio equity assets '!P22+('Market Cap'!P22/1000000)-'Portfolio equity liabilities '!P22)</f>
        <v>0.56739966427793997</v>
      </c>
      <c r="Q20">
        <f>1-('Portfolio equity assets '!Q22)/('Portfolio equity assets '!Q22+('Market Cap'!Q22/1000000)-'Portfolio equity liabilities '!Q22)</f>
        <v>0.4729723468440411</v>
      </c>
      <c r="R20">
        <f>1-('Portfolio equity assets '!R22)/('Portfolio equity assets '!R22+('Market Cap'!R22/1000000)-'Portfolio equity liabilities '!R22)</f>
        <v>0.51103585524464901</v>
      </c>
      <c r="S20">
        <f>1-('Portfolio equity assets '!S22)/('Portfolio equity assets '!S22+('Market Cap'!S22/1000000)-'Portfolio equity liabilities '!S22)</f>
        <v>0.53134718801706149</v>
      </c>
    </row>
    <row r="21" spans="1:19" x14ac:dyDescent="0.3">
      <c r="A21" s="4" t="s">
        <v>22</v>
      </c>
      <c r="B21">
        <f>1-('Portfolio equity assets '!B23)/('Portfolio equity assets '!B23+('Market Cap'!B23/1000000)-'Portfolio equity liabilities '!B23)</f>
        <v>0.59869749369906522</v>
      </c>
      <c r="C21">
        <f>1-('Portfolio equity assets '!C23)/('Portfolio equity assets '!C23+('Market Cap'!C23/1000000)-'Portfolio equity liabilities '!C23)</f>
        <v>0.59708398025162512</v>
      </c>
      <c r="D21">
        <f>1-('Portfolio equity assets '!D23)/('Portfolio equity assets '!D23+('Market Cap'!D23/1000000)-'Portfolio equity liabilities '!D23)</f>
        <v>0.67844362718273454</v>
      </c>
      <c r="E21">
        <f>1-('Portfolio equity assets '!E23)/('Portfolio equity assets '!E23+('Market Cap'!E23/1000000)-'Portfolio equity liabilities '!E23)</f>
        <v>0.618826404228908</v>
      </c>
      <c r="F21">
        <f>1-('Portfolio equity assets '!F23)/('Portfolio equity assets '!F23+('Market Cap'!F23/1000000)-'Portfolio equity liabilities '!F23)</f>
        <v>0.66528207002312745</v>
      </c>
      <c r="G21">
        <f>1-('Portfolio equity assets '!G23)/('Portfolio equity assets '!G23+('Market Cap'!G23/1000000)-'Portfolio equity liabilities '!G23)</f>
        <v>0.635376946363304</v>
      </c>
      <c r="H21">
        <f>1-('Portfolio equity assets '!H23)/('Portfolio equity assets '!H23+('Market Cap'!H23/1000000)-'Portfolio equity liabilities '!H23)</f>
        <v>0.59303581019042562</v>
      </c>
      <c r="I21">
        <f>1-('Portfolio equity assets '!I23)/('Portfolio equity assets '!I23+('Market Cap'!I23/1000000)-'Portfolio equity liabilities '!I23)</f>
        <v>0.60553011017398695</v>
      </c>
      <c r="J21">
        <f>1-('Portfolio equity assets '!J23)/('Portfolio equity assets '!J23+('Market Cap'!J23/1000000)-'Portfolio equity liabilities '!J23)</f>
        <v>0.5551574157137219</v>
      </c>
      <c r="K21">
        <f>1-('Portfolio equity assets '!K23)/('Portfolio equity assets '!K23+('Market Cap'!K23/1000000)-'Portfolio equity liabilities '!K23)</f>
        <v>0.52138685619685532</v>
      </c>
      <c r="L21">
        <f>1-('Portfolio equity assets '!L23)/('Portfolio equity assets '!L23+('Market Cap'!L23/1000000)-'Portfolio equity liabilities '!L23)</f>
        <v>0.5248143737036931</v>
      </c>
      <c r="M21">
        <f>1-('Portfolio equity assets '!M23)/('Portfolio equity assets '!M23+('Market Cap'!M23/1000000)-'Portfolio equity liabilities '!M23)</f>
        <v>0.52096228133725653</v>
      </c>
      <c r="N21">
        <f>1-('Portfolio equity assets '!N23)/('Portfolio equity assets '!N23+('Market Cap'!N23/1000000)-'Portfolio equity liabilities '!N23)</f>
        <v>0.52948358846835863</v>
      </c>
      <c r="O21">
        <f>1-('Portfolio equity assets '!O23)/('Portfolio equity assets '!O23+('Market Cap'!O23/1000000)-'Portfolio equity liabilities '!O23)</f>
        <v>0.55620468111027566</v>
      </c>
      <c r="P21">
        <f>1-('Portfolio equity assets '!P23)/('Portfolio equity assets '!P23+('Market Cap'!P23/1000000)-'Portfolio equity liabilities '!P23)</f>
        <v>0.51772363277516498</v>
      </c>
      <c r="Q21">
        <f>1-('Portfolio equity assets '!Q23)/('Portfolio equity assets '!Q23+('Market Cap'!Q23/1000000)-'Portfolio equity liabilities '!Q23)</f>
        <v>0.49690727081512698</v>
      </c>
      <c r="R21">
        <f>1-('Portfolio equity assets '!R23)/('Portfolio equity assets '!R23+('Market Cap'!R23/1000000)-'Portfolio equity liabilities '!R23)</f>
        <v>0.46259056573451929</v>
      </c>
      <c r="S21">
        <f>1-('Portfolio equity assets '!S23)/('Portfolio equity assets '!S23+('Market Cap'!S23/1000000)-'Portfolio equity liabilities '!S23)</f>
        <v>0.50402379172500456</v>
      </c>
    </row>
    <row r="22" spans="1:19" x14ac:dyDescent="0.3">
      <c r="A22" s="4" t="s">
        <v>23</v>
      </c>
      <c r="B22">
        <f>1-('Portfolio equity assets '!B24)/('Portfolio equity assets '!B24+('Market Cap'!B24/1000000)-'Portfolio equity liabilities '!B24)</f>
        <v>0.98218242138783929</v>
      </c>
      <c r="C22">
        <f>1-('Portfolio equity assets '!C24)/('Portfolio equity assets '!C24+('Market Cap'!C24/1000000)-'Portfolio equity liabilities '!C24)</f>
        <v>0.96769566913767091</v>
      </c>
      <c r="D22">
        <f>1-('Portfolio equity assets '!D24)/('Portfolio equity assets '!D24+('Market Cap'!D24/1000000)-'Portfolio equity liabilities '!D24)</f>
        <v>0.95675353553538056</v>
      </c>
      <c r="E22">
        <f>1-('Portfolio equity assets '!E24)/('Portfolio equity assets '!E24+('Market Cap'!E24/1000000)-'Portfolio equity liabilities '!E24)</f>
        <v>0.96678456211199981</v>
      </c>
      <c r="F22">
        <f>1-('Portfolio equity assets '!F24)/('Portfolio equity assets '!F24+('Market Cap'!F24/1000000)-'Portfolio equity liabilities '!F24)</f>
        <v>0.98047806370659407</v>
      </c>
      <c r="G22">
        <f>1-('Portfolio equity assets '!G24)/('Portfolio equity assets '!G24+('Market Cap'!G24/1000000)-'Portfolio equity liabilities '!G24)</f>
        <v>0.95722937018795862</v>
      </c>
      <c r="H22">
        <f>1-('Portfolio equity assets '!H24)/('Portfolio equity assets '!H24+('Market Cap'!H24/1000000)-'Portfolio equity liabilities '!H24)</f>
        <v>0.982584822573351</v>
      </c>
      <c r="I22">
        <f>1-('Portfolio equity assets '!I24)/('Portfolio equity assets '!I24+('Market Cap'!I24/1000000)-'Portfolio equity liabilities '!I24)</f>
        <v>0.97654127000232716</v>
      </c>
      <c r="J22">
        <f>1-('Portfolio equity assets '!J24)/('Portfolio equity assets '!J24+('Market Cap'!J24/1000000)-'Portfolio equity liabilities '!J24)</f>
        <v>0.97028334238470204</v>
      </c>
      <c r="K22">
        <f>1-('Portfolio equity assets '!K24)/('Portfolio equity assets '!K24+('Market Cap'!K24/1000000)-'Portfolio equity liabilities '!K24)</f>
        <v>0.96677731221991303</v>
      </c>
      <c r="L22">
        <f>1-('Portfolio equity assets '!L24)/('Portfolio equity assets '!L24+('Market Cap'!L24/1000000)-'Portfolio equity liabilities '!L24)</f>
        <v>0.97667553325815659</v>
      </c>
      <c r="M22">
        <f>1-('Portfolio equity assets '!M24)/('Portfolio equity assets '!M24+('Market Cap'!M24/1000000)-'Portfolio equity liabilities '!M24)</f>
        <v>0.9804833718774485</v>
      </c>
      <c r="N22">
        <f>1-('Portfolio equity assets '!N24)/('Portfolio equity assets '!N24+('Market Cap'!N24/1000000)-'Portfolio equity liabilities '!N24)</f>
        <v>0.98630283493026938</v>
      </c>
      <c r="O22">
        <f>1-('Portfolio equity assets '!O24)/('Portfolio equity assets '!O24+('Market Cap'!O24/1000000)-'Portfolio equity liabilities '!O24)</f>
        <v>0.98382567779824603</v>
      </c>
      <c r="P22">
        <f>1-('Portfolio equity assets '!P24)/('Portfolio equity assets '!P24+('Market Cap'!P24/1000000)-'Portfolio equity liabilities '!P24)</f>
        <v>0.98968447332588205</v>
      </c>
      <c r="Q22">
        <f>1-('Portfolio equity assets '!Q24)/('Portfolio equity assets '!Q24+('Market Cap'!Q24/1000000)-'Portfolio equity liabilities '!Q24)</f>
        <v>0.98638489625493231</v>
      </c>
      <c r="R22">
        <f>1-('Portfolio equity assets '!R24)/('Portfolio equity assets '!R24+('Market Cap'!R24/1000000)-'Portfolio equity liabilities '!R24)</f>
        <v>0.99045841548899027</v>
      </c>
      <c r="S22">
        <f>1-('Portfolio equity assets '!S24)/('Portfolio equity assets '!S24+('Market Cap'!S24/1000000)-'Portfolio equity liabilities '!S24)</f>
        <v>0.99231386122031962</v>
      </c>
    </row>
    <row r="23" spans="1:19" x14ac:dyDescent="0.3">
      <c r="A23" s="4" t="s">
        <v>24</v>
      </c>
      <c r="B23">
        <f>1-('Portfolio equity assets '!B25)/('Portfolio equity assets '!B25+('Market Cap'!B25/1000000)-'Portfolio equity liabilities '!B25)</f>
        <v>0.76841284441120017</v>
      </c>
      <c r="C23">
        <f>1-('Portfolio equity assets '!C25)/('Portfolio equity assets '!C25+('Market Cap'!C25/1000000)-'Portfolio equity liabilities '!C25)</f>
        <v>0.7763201404391632</v>
      </c>
      <c r="D23">
        <f>1-('Portfolio equity assets '!D25)/('Portfolio equity assets '!D25+('Market Cap'!D25/1000000)-'Portfolio equity liabilities '!D25)</f>
        <v>0.77221079148780292</v>
      </c>
      <c r="E23">
        <f>1-('Portfolio equity assets '!E25)/('Portfolio equity assets '!E25+('Market Cap'!E25/1000000)-'Portfolio equity liabilities '!E25)</f>
        <v>0.77020548049518878</v>
      </c>
      <c r="F23">
        <f>1-('Portfolio equity assets '!F25)/('Portfolio equity assets '!F25+('Market Cap'!F25/1000000)-'Portfolio equity liabilities '!F25)</f>
        <v>0.76224317036878042</v>
      </c>
      <c r="G23">
        <f>1-('Portfolio equity assets '!G25)/('Portfolio equity assets '!G25+('Market Cap'!G25/1000000)-'Portfolio equity liabilities '!G25)</f>
        <v>0.77148032419600443</v>
      </c>
      <c r="H23">
        <f>1-('Portfolio equity assets '!H25)/('Portfolio equity assets '!H25+('Market Cap'!H25/1000000)-'Portfolio equity liabilities '!H25)</f>
        <v>0.72841550266032762</v>
      </c>
      <c r="I23">
        <f>1-('Portfolio equity assets '!I25)/('Portfolio equity assets '!I25+('Market Cap'!I25/1000000)-'Portfolio equity liabilities '!I25)</f>
        <v>0.69630017815860645</v>
      </c>
      <c r="J23">
        <f>1-('Portfolio equity assets '!J25)/('Portfolio equity assets '!J25+('Market Cap'!J25/1000000)-'Portfolio equity liabilities '!J25)</f>
        <v>0.67765961017919163</v>
      </c>
      <c r="K23">
        <f>1-('Portfolio equity assets '!K25)/('Portfolio equity assets '!K25+('Market Cap'!K25/1000000)-'Portfolio equity liabilities '!K25)</f>
        <v>0.64978765304787567</v>
      </c>
      <c r="L23">
        <f>1-('Portfolio equity assets '!L25)/('Portfolio equity assets '!L25+('Market Cap'!L25/1000000)-'Portfolio equity liabilities '!L25)</f>
        <v>0.64415319246451097</v>
      </c>
      <c r="M23">
        <f>1-('Portfolio equity assets '!M25)/('Portfolio equity assets '!M25+('Market Cap'!M25/1000000)-'Portfolio equity liabilities '!M25)</f>
        <v>0.59930368889760721</v>
      </c>
      <c r="N23">
        <f>1-('Portfolio equity assets '!N25)/('Portfolio equity assets '!N25+('Market Cap'!N25/1000000)-'Portfolio equity liabilities '!N25)</f>
        <v>0.58280111988136685</v>
      </c>
      <c r="O23">
        <f>1-('Portfolio equity assets '!O25)/('Portfolio equity assets '!O25+('Market Cap'!O25/1000000)-'Portfolio equity liabilities '!O25)</f>
        <v>0.5589641798997903</v>
      </c>
      <c r="P23">
        <f>1-('Portfolio equity assets '!P25)/('Portfolio equity assets '!P25+('Market Cap'!P25/1000000)-'Portfolio equity liabilities '!P25)</f>
        <v>0.50585419534442111</v>
      </c>
      <c r="Q23">
        <f>1-('Portfolio equity assets '!Q25)/('Portfolio equity assets '!Q25+('Market Cap'!Q25/1000000)-'Portfolio equity liabilities '!Q25)</f>
        <v>0.45547214597742891</v>
      </c>
      <c r="R23">
        <f>1-('Portfolio equity assets '!R25)/('Portfolio equity assets '!R25+('Market Cap'!R25/1000000)-'Portfolio equity liabilities '!R25)</f>
        <v>0.48529334050199724</v>
      </c>
      <c r="S23">
        <f>1-('Portfolio equity assets '!S25)/('Portfolio equity assets '!S25+('Market Cap'!S25/1000000)-'Portfolio equity liabilities '!S25)</f>
        <v>0.5083744886872319</v>
      </c>
    </row>
    <row r="24" spans="1:19" x14ac:dyDescent="0.3">
      <c r="A24" s="4" t="s">
        <v>25</v>
      </c>
      <c r="B24">
        <f>1-('Portfolio equity assets '!B26)/('Portfolio equity assets '!B26+('Market Cap'!B26/1000000)-'Portfolio equity liabilities '!B26)</f>
        <v>0.89751099444275362</v>
      </c>
      <c r="C24">
        <f>1-('Portfolio equity assets '!C26)/('Portfolio equity assets '!C26+('Market Cap'!C26/1000000)-'Portfolio equity liabilities '!C26)</f>
        <v>0.88165499651168888</v>
      </c>
      <c r="D24">
        <f>1-('Portfolio equity assets '!D26)/('Portfolio equity assets '!D26+('Market Cap'!D26/1000000)-'Portfolio equity liabilities '!D26)</f>
        <v>0.8886257586574714</v>
      </c>
      <c r="E24">
        <f>1-('Portfolio equity assets '!E26)/('Portfolio equity assets '!E26+('Market Cap'!E26/1000000)-'Portfolio equity liabilities '!E26)</f>
        <v>0.88590207651904229</v>
      </c>
      <c r="F24">
        <f>1-('Portfolio equity assets '!F26)/('Portfolio equity assets '!F26+('Market Cap'!F26/1000000)-'Portfolio equity liabilities '!F26)</f>
        <v>0.89555334191826419</v>
      </c>
      <c r="G24">
        <f>1-('Portfolio equity assets '!G26)/('Portfolio equity assets '!G26+('Market Cap'!G26/1000000)-'Portfolio equity liabilities '!G26)</f>
        <v>0.89214801440743641</v>
      </c>
      <c r="H24">
        <f>1-('Portfolio equity assets '!H26)/('Portfolio equity assets '!H26+('Market Cap'!H26/1000000)-'Portfolio equity liabilities '!H26)</f>
        <v>0.88232330018812144</v>
      </c>
      <c r="I24">
        <f>1-('Portfolio equity assets '!I26)/('Portfolio equity assets '!I26+('Market Cap'!I26/1000000)-'Portfolio equity liabilities '!I26)</f>
        <v>0.87900734990179363</v>
      </c>
      <c r="J24">
        <f>1-('Portfolio equity assets '!J26)/('Portfolio equity assets '!J26+('Market Cap'!J26/1000000)-'Portfolio equity liabilities '!J26)</f>
        <v>0.88393533826334247</v>
      </c>
      <c r="K24">
        <f>1-('Portfolio equity assets '!K26)/('Portfolio equity assets '!K26+('Market Cap'!K26/1000000)-'Portfolio equity liabilities '!K26)</f>
        <v>0.8766213830649211</v>
      </c>
      <c r="L24">
        <f>1-('Portfolio equity assets '!L26)/('Portfolio equity assets '!L26+('Market Cap'!L26/1000000)-'Portfolio equity liabilities '!L26)</f>
        <v>0.85665266897615155</v>
      </c>
      <c r="M24">
        <f>1-('Portfolio equity assets '!M26)/('Portfolio equity assets '!M26+('Market Cap'!M26/1000000)-'Portfolio equity liabilities '!M26)</f>
        <v>0.84723849879218494</v>
      </c>
      <c r="N24">
        <f>1-('Portfolio equity assets '!N26)/('Portfolio equity assets '!N26+('Market Cap'!N26/1000000)-'Portfolio equity liabilities '!N26)</f>
        <v>0.81552478143488716</v>
      </c>
      <c r="O24">
        <f>1-('Portfolio equity assets '!O26)/('Portfolio equity assets '!O26+('Market Cap'!O26/1000000)-'Portfolio equity liabilities '!O26)</f>
        <v>0.79349443543863762</v>
      </c>
      <c r="P24">
        <f>1-('Portfolio equity assets '!P26)/('Portfolio equity assets '!P26+('Market Cap'!P26/1000000)-'Portfolio equity liabilities '!P26)</f>
        <v>0.76105991060722467</v>
      </c>
      <c r="Q24">
        <f>1-('Portfolio equity assets '!Q26)/('Portfolio equity assets '!Q26+('Market Cap'!Q26/1000000)-'Portfolio equity liabilities '!Q26)</f>
        <v>0.77752080647584909</v>
      </c>
      <c r="R24">
        <f>1-('Portfolio equity assets '!R26)/('Portfolio equity assets '!R26+('Market Cap'!R26/1000000)-'Portfolio equity liabilities '!R26)</f>
        <v>0.75268834444651289</v>
      </c>
      <c r="S24">
        <f>1-('Portfolio equity assets '!S26)/('Portfolio equity assets '!S26+('Market Cap'!S26/1000000)-'Portfolio equity liabilities '!S26)</f>
        <v>0.735028095074717</v>
      </c>
    </row>
    <row r="26" spans="1:19" x14ac:dyDescent="0.3">
      <c r="A26" s="4" t="s">
        <v>28</v>
      </c>
      <c r="B26">
        <f>AVERAGE(B3:B24)</f>
        <v>0.84153721899965495</v>
      </c>
      <c r="C26">
        <f t="shared" ref="C26:S26" si="0">AVERAGE(C3:C24)</f>
        <v>0.84596354448192734</v>
      </c>
      <c r="D26">
        <f t="shared" si="0"/>
        <v>0.84228405341221757</v>
      </c>
      <c r="E26">
        <f t="shared" si="0"/>
        <v>0.82802808170278119</v>
      </c>
      <c r="F26">
        <f t="shared" si="0"/>
        <v>0.81601676324537675</v>
      </c>
      <c r="G26">
        <f t="shared" si="0"/>
        <v>0.78978123380177767</v>
      </c>
      <c r="H26">
        <f t="shared" si="0"/>
        <v>0.75897928891030153</v>
      </c>
      <c r="I26">
        <f t="shared" si="0"/>
        <v>0.7234918218377393</v>
      </c>
      <c r="J26">
        <f t="shared" si="0"/>
        <v>0.69430695789954688</v>
      </c>
      <c r="K26">
        <f t="shared" si="0"/>
        <v>0.67386711188358983</v>
      </c>
      <c r="L26">
        <f t="shared" si="0"/>
        <v>0.66944141345458741</v>
      </c>
      <c r="M26">
        <f t="shared" si="0"/>
        <v>0.66248176020720617</v>
      </c>
      <c r="N26">
        <f t="shared" si="0"/>
        <v>0.63969948488587591</v>
      </c>
      <c r="O26">
        <f t="shared" si="0"/>
        <v>0.63982676556395957</v>
      </c>
      <c r="P26">
        <f t="shared" si="0"/>
        <v>0.63559929619372391</v>
      </c>
      <c r="Q26">
        <f t="shared" si="0"/>
        <v>0.55917142904804973</v>
      </c>
      <c r="R26">
        <f t="shared" si="0"/>
        <v>0.5130576594159254</v>
      </c>
      <c r="S26">
        <f t="shared" si="0"/>
        <v>0.53567161604424129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FB7-CB95-4988-A752-6A7D60F32F93}">
  <dimension ref="A1:S26"/>
  <sheetViews>
    <sheetView workbookViewId="0">
      <selection activeCell="X16" sqref="X16"/>
    </sheetView>
  </sheetViews>
  <sheetFormatPr defaultRowHeight="14.4" x14ac:dyDescent="0.3"/>
  <cols>
    <col min="1" max="1" width="16.109375" customWidth="1"/>
  </cols>
  <sheetData>
    <row r="1" spans="1:19" ht="17.399999999999999" customHeight="1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26</v>
      </c>
      <c r="L1" s="5"/>
      <c r="M1" s="5"/>
      <c r="N1" s="5"/>
      <c r="O1" s="5"/>
      <c r="P1" s="5"/>
      <c r="Q1" s="5"/>
      <c r="R1" s="5"/>
      <c r="S1" s="5"/>
    </row>
    <row r="2" spans="1:19" ht="16.8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</row>
    <row r="3" spans="1:19" x14ac:dyDescent="0.3">
      <c r="A3" s="4" t="s">
        <v>2</v>
      </c>
      <c r="B3">
        <v>21523.6548</v>
      </c>
      <c r="C3">
        <v>22662.36261652</v>
      </c>
      <c r="D3">
        <v>27175.365000000002</v>
      </c>
      <c r="E3">
        <v>31681.587579840099</v>
      </c>
      <c r="F3">
        <v>33076.225706759898</v>
      </c>
      <c r="G3">
        <v>36782.432999160097</v>
      </c>
      <c r="H3">
        <v>57208.807599999898</v>
      </c>
      <c r="I3">
        <v>59195.453999999998</v>
      </c>
      <c r="J3">
        <v>60057.793200000102</v>
      </c>
      <c r="K3">
        <v>65500.8469999999</v>
      </c>
      <c r="L3">
        <v>92943.000000000306</v>
      </c>
      <c r="M3">
        <v>114631.408</v>
      </c>
      <c r="N3">
        <v>137520.32579999999</v>
      </c>
      <c r="O3">
        <v>188372.13020000001</v>
      </c>
      <c r="P3">
        <v>267546.204800001</v>
      </c>
      <c r="Q3">
        <v>161055.21599999999</v>
      </c>
      <c r="R3">
        <v>244571.17649999901</v>
      </c>
      <c r="S3">
        <v>283837.3455</v>
      </c>
    </row>
    <row r="4" spans="1:19" x14ac:dyDescent="0.3">
      <c r="A4" s="4" t="s">
        <v>3</v>
      </c>
      <c r="B4">
        <v>3722.3091493041302</v>
      </c>
      <c r="C4">
        <v>4941.1979214148996</v>
      </c>
      <c r="D4">
        <v>5868.35844567803</v>
      </c>
      <c r="E4">
        <v>6454.2632828190599</v>
      </c>
      <c r="F4">
        <v>11501.6227341091</v>
      </c>
      <c r="G4">
        <v>17225.266025368201</v>
      </c>
      <c r="H4">
        <v>28935.795180000001</v>
      </c>
      <c r="I4">
        <v>42698.318749999999</v>
      </c>
      <c r="J4">
        <v>31190.320009633298</v>
      </c>
      <c r="K4">
        <v>30047.485041673401</v>
      </c>
      <c r="L4">
        <v>44150.093062961998</v>
      </c>
      <c r="M4">
        <v>54934.612213052198</v>
      </c>
      <c r="N4">
        <v>63610.769729798303</v>
      </c>
      <c r="O4">
        <v>88108.616999999998</v>
      </c>
      <c r="P4">
        <v>100796.1591</v>
      </c>
      <c r="Q4">
        <v>54860.813999999998</v>
      </c>
      <c r="R4">
        <v>75206.523000000001</v>
      </c>
      <c r="S4">
        <v>87505.065600000002</v>
      </c>
    </row>
    <row r="5" spans="1:19" x14ac:dyDescent="0.3">
      <c r="A5" s="4" t="s">
        <v>4</v>
      </c>
      <c r="B5">
        <v>59318.7482691775</v>
      </c>
      <c r="C5">
        <v>59803.690616411499</v>
      </c>
      <c r="D5">
        <v>63766.785653578103</v>
      </c>
      <c r="E5">
        <v>64571.160756131903</v>
      </c>
      <c r="F5">
        <v>64661.430119176599</v>
      </c>
      <c r="G5">
        <v>94141.6361769512</v>
      </c>
      <c r="H5">
        <v>125273.62</v>
      </c>
      <c r="I5">
        <v>124687</v>
      </c>
      <c r="J5">
        <v>110225.95359999999</v>
      </c>
      <c r="K5">
        <v>104970.6752</v>
      </c>
      <c r="L5">
        <v>146643.141</v>
      </c>
      <c r="M5">
        <v>172163.99160000001</v>
      </c>
      <c r="N5">
        <v>204559.98</v>
      </c>
      <c r="O5">
        <v>248209.72200000001</v>
      </c>
      <c r="P5">
        <v>313728.06359999999</v>
      </c>
      <c r="Q5">
        <v>233392.26509999999</v>
      </c>
      <c r="R5">
        <v>261133.2402</v>
      </c>
      <c r="S5">
        <v>260080.6404</v>
      </c>
    </row>
    <row r="6" spans="1:19" x14ac:dyDescent="0.3">
      <c r="A6" s="4" t="s">
        <v>5</v>
      </c>
      <c r="B6">
        <v>69689.521827948905</v>
      </c>
      <c r="C6">
        <v>74056.705664146095</v>
      </c>
      <c r="D6">
        <v>89141.3075994518</v>
      </c>
      <c r="E6">
        <v>117443.81949511199</v>
      </c>
      <c r="F6">
        <v>138738.31527438</v>
      </c>
      <c r="G6">
        <v>155873.51659818701</v>
      </c>
      <c r="H6">
        <v>235440.449663965</v>
      </c>
      <c r="I6">
        <v>239948.02734244801</v>
      </c>
      <c r="J6">
        <v>230766.924912104</v>
      </c>
      <c r="K6">
        <v>203461.210699797</v>
      </c>
      <c r="L6">
        <v>275909.88044735801</v>
      </c>
      <c r="M6">
        <v>319840.20881863602</v>
      </c>
      <c r="N6">
        <v>382600.36715391203</v>
      </c>
      <c r="O6">
        <v>499606.16183284699</v>
      </c>
      <c r="P6">
        <v>608457.25814586901</v>
      </c>
      <c r="Q6">
        <v>359016.77586206899</v>
      </c>
      <c r="R6">
        <v>478116.571836346</v>
      </c>
      <c r="S6">
        <v>580362.94289161498</v>
      </c>
    </row>
    <row r="7" spans="1:19" x14ac:dyDescent="0.3">
      <c r="A7" s="4" t="s">
        <v>6</v>
      </c>
      <c r="B7">
        <v>7973.4219269102996</v>
      </c>
      <c r="C7">
        <v>8877.1987506164696</v>
      </c>
      <c r="D7">
        <v>10818.6080057699</v>
      </c>
      <c r="E7">
        <v>16149.3817814787</v>
      </c>
      <c r="F7">
        <v>22414.298271315602</v>
      </c>
      <c r="G7">
        <v>32622.876379863799</v>
      </c>
      <c r="H7">
        <v>50132.318754392603</v>
      </c>
      <c r="I7">
        <v>56480.1446293872</v>
      </c>
      <c r="J7">
        <v>47977.515745056196</v>
      </c>
      <c r="K7">
        <v>35795.8578338144</v>
      </c>
      <c r="L7">
        <v>52117.8300778673</v>
      </c>
      <c r="M7">
        <v>65428.1161602184</v>
      </c>
      <c r="N7">
        <v>88374.156006388293</v>
      </c>
      <c r="O7">
        <v>132046.843536934</v>
      </c>
      <c r="P7">
        <v>156759.40338502199</v>
      </c>
      <c r="Q7">
        <v>85198.773865163006</v>
      </c>
      <c r="R7">
        <v>115037.282518641</v>
      </c>
      <c r="S7">
        <v>136051.342347639</v>
      </c>
    </row>
    <row r="8" spans="1:19" x14ac:dyDescent="0.3">
      <c r="A8" s="4" t="s">
        <v>7</v>
      </c>
      <c r="B8">
        <v>308.23753133373702</v>
      </c>
      <c r="C8">
        <v>418.493843818519</v>
      </c>
      <c r="D8">
        <v>737.85160372596704</v>
      </c>
      <c r="E8">
        <v>1563.5564934645399</v>
      </c>
      <c r="F8">
        <v>3245.33731805855</v>
      </c>
      <c r="G8">
        <v>5270.8006279434903</v>
      </c>
      <c r="H8">
        <v>13669.592199999999</v>
      </c>
      <c r="I8">
        <v>20263.498500000002</v>
      </c>
      <c r="J8">
        <v>20157.093599999898</v>
      </c>
      <c r="K8">
        <v>22943.123016000001</v>
      </c>
      <c r="L8">
        <v>36081.889199999998</v>
      </c>
      <c r="M8">
        <v>53281.592603999998</v>
      </c>
      <c r="N8">
        <v>64511.245665000002</v>
      </c>
      <c r="O8">
        <v>96258.4764</v>
      </c>
      <c r="P8">
        <v>122329.979016</v>
      </c>
      <c r="Q8">
        <v>63345.507888</v>
      </c>
      <c r="R8">
        <v>103086.09465</v>
      </c>
      <c r="S8">
        <v>131659.420464</v>
      </c>
    </row>
    <row r="9" spans="1:19" x14ac:dyDescent="0.3">
      <c r="A9" s="4" t="s">
        <v>8</v>
      </c>
      <c r="B9">
        <v>51965.058095157299</v>
      </c>
      <c r="C9">
        <v>53744.855967078198</v>
      </c>
      <c r="D9">
        <v>58363.265306122397</v>
      </c>
      <c r="E9">
        <v>73519.190376169601</v>
      </c>
      <c r="F9">
        <v>99126.601092166107</v>
      </c>
      <c r="G9">
        <v>143051.528788175</v>
      </c>
      <c r="H9">
        <v>190673.08</v>
      </c>
      <c r="I9">
        <v>210060.375</v>
      </c>
      <c r="J9">
        <v>201747.19599999901</v>
      </c>
      <c r="K9">
        <v>200095.1061</v>
      </c>
      <c r="L9">
        <v>340240.83299999998</v>
      </c>
      <c r="M9">
        <v>442653.8959</v>
      </c>
      <c r="N9">
        <v>524887.46010000003</v>
      </c>
      <c r="O9">
        <v>716800.95600000001</v>
      </c>
      <c r="P9">
        <v>826859.43270000105</v>
      </c>
      <c r="Q9">
        <v>474750.98423369997</v>
      </c>
      <c r="R9">
        <v>646027.60381740006</v>
      </c>
      <c r="S9">
        <v>665773.53817139997</v>
      </c>
    </row>
    <row r="10" spans="1:19" x14ac:dyDescent="0.3">
      <c r="A10" s="4" t="s">
        <v>9</v>
      </c>
      <c r="B10">
        <v>115203.614667207</v>
      </c>
      <c r="C10">
        <v>145785.12396694199</v>
      </c>
      <c r="D10">
        <v>165971.39867457299</v>
      </c>
      <c r="E10">
        <v>187491.638795987</v>
      </c>
      <c r="F10">
        <v>241387.19937503501</v>
      </c>
      <c r="G10">
        <v>370572.02630005998</v>
      </c>
      <c r="H10">
        <v>507080.89140000002</v>
      </c>
      <c r="I10">
        <v>573062.38249999995</v>
      </c>
      <c r="J10">
        <v>490736.04159999901</v>
      </c>
      <c r="K10">
        <v>437829.10389999999</v>
      </c>
      <c r="L10">
        <v>576236.17200000002</v>
      </c>
      <c r="M10">
        <v>668229.91480000003</v>
      </c>
      <c r="N10">
        <v>771379.87659999996</v>
      </c>
      <c r="O10">
        <v>884233.8</v>
      </c>
      <c r="P10">
        <v>954029.73540000105</v>
      </c>
      <c r="Q10">
        <v>589528.29509999999</v>
      </c>
      <c r="R10">
        <v>707088.25740000105</v>
      </c>
      <c r="S10">
        <v>739717.64760000003</v>
      </c>
    </row>
    <row r="11" spans="1:19" x14ac:dyDescent="0.3">
      <c r="A11" s="4" t="s">
        <v>10</v>
      </c>
      <c r="B11">
        <v>391.66037735849102</v>
      </c>
      <c r="C11">
        <v>411.84905660377399</v>
      </c>
      <c r="D11">
        <v>510.77358490566002</v>
      </c>
      <c r="E11">
        <v>593.54716981132106</v>
      </c>
      <c r="F11">
        <v>999.33962264150898</v>
      </c>
      <c r="G11">
        <v>1177</v>
      </c>
      <c r="H11">
        <v>1147.2532000000001</v>
      </c>
      <c r="I11">
        <v>1345.5029999999999</v>
      </c>
      <c r="J11">
        <v>2559.29519999999</v>
      </c>
      <c r="K11">
        <v>2596.5812000000001</v>
      </c>
      <c r="L11">
        <v>4386.3990000000003</v>
      </c>
      <c r="M11">
        <v>5649.9907999999996</v>
      </c>
      <c r="N11">
        <v>7837.9268000000002</v>
      </c>
      <c r="O11">
        <v>12810.459000000001</v>
      </c>
      <c r="P11">
        <v>19997.006399999998</v>
      </c>
      <c r="Q11">
        <v>15432.561299999999</v>
      </c>
      <c r="R11">
        <v>13728.918</v>
      </c>
      <c r="S11">
        <v>12246.272999999999</v>
      </c>
    </row>
    <row r="12" spans="1:19" x14ac:dyDescent="0.3">
      <c r="A12" s="4" t="s">
        <v>11</v>
      </c>
      <c r="B12">
        <v>22.057001239157401</v>
      </c>
      <c r="C12">
        <v>47.588330156868501</v>
      </c>
      <c r="D12">
        <v>102.376207266595</v>
      </c>
      <c r="E12">
        <v>182.26939751831401</v>
      </c>
      <c r="F12">
        <v>397.28456636187298</v>
      </c>
      <c r="G12">
        <v>830.04904789382601</v>
      </c>
      <c r="H12">
        <v>1713.1219848380399</v>
      </c>
      <c r="I12">
        <v>2012.44391971665</v>
      </c>
      <c r="J12">
        <v>1754.43419135503</v>
      </c>
      <c r="K12">
        <v>1848.4239265326401</v>
      </c>
      <c r="L12">
        <v>3183.0539512607402</v>
      </c>
      <c r="M12">
        <v>5841.57929226737</v>
      </c>
      <c r="N12">
        <v>9339.4093362972399</v>
      </c>
      <c r="O12">
        <v>13392.576053586399</v>
      </c>
      <c r="P12">
        <v>20630.703314470498</v>
      </c>
      <c r="Q12">
        <v>6706.2862829656697</v>
      </c>
      <c r="R12">
        <v>5893.0024019215398</v>
      </c>
      <c r="S12">
        <v>4935.4976097348999</v>
      </c>
    </row>
    <row r="13" spans="1:19" x14ac:dyDescent="0.3">
      <c r="A13" s="4" t="s">
        <v>12</v>
      </c>
      <c r="B13">
        <v>13322.1843999924</v>
      </c>
      <c r="C13">
        <v>14941.5823799913</v>
      </c>
      <c r="D13">
        <v>21132.554300002201</v>
      </c>
      <c r="E13">
        <v>26887.849620022302</v>
      </c>
      <c r="F13">
        <v>39803.457869999998</v>
      </c>
      <c r="G13">
        <v>60785.341500000002</v>
      </c>
      <c r="H13">
        <v>118794.9546</v>
      </c>
      <c r="I13">
        <v>130898.08749999999</v>
      </c>
      <c r="J13">
        <v>133758.42619999999</v>
      </c>
      <c r="K13">
        <v>152856.41459999999</v>
      </c>
      <c r="L13">
        <v>222502.71</v>
      </c>
      <c r="M13">
        <v>304942.86170000001</v>
      </c>
      <c r="N13">
        <v>383154.76299999998</v>
      </c>
      <c r="O13">
        <v>573199.22699999996</v>
      </c>
      <c r="P13">
        <v>649172.54639999999</v>
      </c>
      <c r="Q13">
        <v>427868.42310000001</v>
      </c>
      <c r="R13">
        <v>539873.49360000005</v>
      </c>
      <c r="S13">
        <v>603914.29680000001</v>
      </c>
    </row>
    <row r="14" spans="1:19" x14ac:dyDescent="0.3">
      <c r="A14" s="4" t="s">
        <v>13</v>
      </c>
      <c r="B14">
        <v>29894.301825725801</v>
      </c>
      <c r="C14">
        <v>33838.688647466101</v>
      </c>
      <c r="D14">
        <v>41860.026334617003</v>
      </c>
      <c r="E14">
        <v>50700.777435679098</v>
      </c>
      <c r="F14">
        <v>75233.5</v>
      </c>
      <c r="G14">
        <v>103667.59587511601</v>
      </c>
      <c r="H14">
        <v>212734.09599999999</v>
      </c>
      <c r="I14">
        <v>290478.83750000002</v>
      </c>
      <c r="J14">
        <v>243512.00299999901</v>
      </c>
      <c r="K14">
        <v>252384.33679999999</v>
      </c>
      <c r="L14">
        <v>337503.91200000001</v>
      </c>
      <c r="M14">
        <v>411978.04180000001</v>
      </c>
      <c r="N14">
        <v>433434.75670000003</v>
      </c>
      <c r="O14">
        <v>560702.21400000004</v>
      </c>
      <c r="P14">
        <v>606318.24329999997</v>
      </c>
      <c r="Q14">
        <v>330770.90580000001</v>
      </c>
      <c r="R14">
        <v>421376.94059999997</v>
      </c>
      <c r="S14">
        <v>488768.598</v>
      </c>
    </row>
    <row r="15" spans="1:19" x14ac:dyDescent="0.3">
      <c r="A15" s="4" t="s">
        <v>14</v>
      </c>
      <c r="B15">
        <v>108620.396687418</v>
      </c>
      <c r="C15">
        <v>119049.762260433</v>
      </c>
      <c r="D15">
        <v>146260.81882719099</v>
      </c>
      <c r="E15">
        <v>155093.26533286599</v>
      </c>
      <c r="F15">
        <v>158793.879026095</v>
      </c>
      <c r="G15">
        <v>209402.353981842</v>
      </c>
      <c r="H15">
        <v>285415.92336103099</v>
      </c>
      <c r="I15">
        <v>262251.75573902798</v>
      </c>
      <c r="J15">
        <v>227351.39281864901</v>
      </c>
      <c r="K15">
        <v>210818.267642461</v>
      </c>
      <c r="L15">
        <v>274458.158815509</v>
      </c>
      <c r="M15">
        <v>364691.26142080099</v>
      </c>
      <c r="N15">
        <v>408574.78376297699</v>
      </c>
      <c r="O15">
        <v>510419.41512251302</v>
      </c>
      <c r="P15">
        <v>573469.44457801396</v>
      </c>
      <c r="Q15">
        <v>394672.96435124002</v>
      </c>
      <c r="R15">
        <v>594036.85713899496</v>
      </c>
      <c r="S15">
        <v>678481.65906894405</v>
      </c>
    </row>
    <row r="16" spans="1:19" x14ac:dyDescent="0.3">
      <c r="A16" s="4" t="s">
        <v>15</v>
      </c>
      <c r="B16">
        <v>1785</v>
      </c>
      <c r="C16">
        <v>1878</v>
      </c>
      <c r="D16">
        <v>2212</v>
      </c>
      <c r="E16">
        <v>2361</v>
      </c>
      <c r="F16">
        <v>2946</v>
      </c>
      <c r="G16">
        <v>3322</v>
      </c>
      <c r="H16">
        <v>3381</v>
      </c>
      <c r="I16">
        <v>2855</v>
      </c>
      <c r="J16">
        <v>7882</v>
      </c>
      <c r="K16">
        <v>6922</v>
      </c>
      <c r="L16">
        <v>9418</v>
      </c>
      <c r="M16">
        <v>11752</v>
      </c>
      <c r="N16">
        <v>13508</v>
      </c>
      <c r="O16">
        <v>16612</v>
      </c>
      <c r="P16">
        <v>18193</v>
      </c>
      <c r="Q16">
        <v>10339</v>
      </c>
      <c r="R16">
        <v>14487</v>
      </c>
      <c r="S16">
        <v>21553</v>
      </c>
    </row>
    <row r="17" spans="1:19" x14ac:dyDescent="0.3">
      <c r="A17" s="4" t="s">
        <v>16</v>
      </c>
      <c r="B17">
        <v>59663.352053171198</v>
      </c>
      <c r="C17">
        <v>67258.179217336205</v>
      </c>
      <c r="D17">
        <v>91747.070555971106</v>
      </c>
      <c r="E17">
        <v>107708.763477862</v>
      </c>
      <c r="F17">
        <v>124066.032123736</v>
      </c>
      <c r="G17">
        <v>173149.08936891099</v>
      </c>
      <c r="H17">
        <v>249426.10639999999</v>
      </c>
      <c r="I17">
        <v>253589.16500000001</v>
      </c>
      <c r="J17">
        <v>235023.32139999999</v>
      </c>
      <c r="K17">
        <v>217387.12040000001</v>
      </c>
      <c r="L17">
        <v>355375.36200000002</v>
      </c>
      <c r="M17">
        <v>447177.43</v>
      </c>
      <c r="N17">
        <v>479218.91369999998</v>
      </c>
      <c r="O17">
        <v>566162.49600000004</v>
      </c>
      <c r="P17">
        <v>667373.59080000001</v>
      </c>
      <c r="Q17">
        <v>428919.15659999999</v>
      </c>
      <c r="R17">
        <v>588087.49439999997</v>
      </c>
      <c r="S17">
        <v>648722.42760000005</v>
      </c>
    </row>
    <row r="18" spans="1:19" x14ac:dyDescent="0.3">
      <c r="A18" s="4" t="s">
        <v>17</v>
      </c>
      <c r="B18">
        <v>630.32637743999999</v>
      </c>
      <c r="C18">
        <v>952.18499999999699</v>
      </c>
      <c r="D18">
        <v>1233.4304</v>
      </c>
      <c r="E18">
        <v>4586.8819999999996</v>
      </c>
      <c r="F18">
        <v>4095.1680000000001</v>
      </c>
      <c r="G18">
        <v>4392.76530000001</v>
      </c>
      <c r="H18">
        <v>4355.3395999999902</v>
      </c>
      <c r="I18">
        <v>6606.9618</v>
      </c>
      <c r="J18">
        <v>11677.212</v>
      </c>
      <c r="K18">
        <v>12851.3385</v>
      </c>
      <c r="L18">
        <v>17876.95</v>
      </c>
      <c r="M18">
        <v>22488.075199999999</v>
      </c>
      <c r="N18">
        <v>25298.337800000001</v>
      </c>
      <c r="O18">
        <v>30079.810800000101</v>
      </c>
      <c r="P18">
        <v>36525.833999999901</v>
      </c>
      <c r="Q18">
        <v>19279.091</v>
      </c>
      <c r="R18">
        <v>29674.138900000002</v>
      </c>
      <c r="S18">
        <v>35093.8946</v>
      </c>
    </row>
    <row r="19" spans="1:19" x14ac:dyDescent="0.3">
      <c r="A19" s="4" t="s">
        <v>18</v>
      </c>
      <c r="B19">
        <v>5092.7992044885796</v>
      </c>
      <c r="C19">
        <v>4918.79429031372</v>
      </c>
      <c r="D19">
        <v>6374.3510025313799</v>
      </c>
      <c r="E19">
        <v>8946.2988622904395</v>
      </c>
      <c r="F19">
        <v>12825.293096478699</v>
      </c>
      <c r="G19">
        <v>25280.131578947399</v>
      </c>
      <c r="H19">
        <v>35166.490453386403</v>
      </c>
      <c r="I19">
        <v>43899.1919534384</v>
      </c>
      <c r="J19">
        <v>41570.753251364898</v>
      </c>
      <c r="K19">
        <v>55418.694000000003</v>
      </c>
      <c r="L19">
        <v>76359.346999999994</v>
      </c>
      <c r="M19">
        <v>99439.735099337806</v>
      </c>
      <c r="N19">
        <v>125958.641063516</v>
      </c>
      <c r="O19">
        <v>174889.93610223601</v>
      </c>
      <c r="P19">
        <v>248248.05914972301</v>
      </c>
      <c r="Q19">
        <v>203333</v>
      </c>
      <c r="R19">
        <v>353413.66782006901</v>
      </c>
      <c r="S19">
        <v>408184.641638225</v>
      </c>
    </row>
    <row r="20" spans="1:19" x14ac:dyDescent="0.3">
      <c r="A20" s="4" t="s">
        <v>19</v>
      </c>
      <c r="B20">
        <v>1079.1425474795101</v>
      </c>
      <c r="C20">
        <v>1477.1849790301001</v>
      </c>
      <c r="D20">
        <v>2843.6026532372198</v>
      </c>
      <c r="E20">
        <v>4726.7374925273098</v>
      </c>
      <c r="F20">
        <v>4765.3848997622999</v>
      </c>
      <c r="G20">
        <v>6007.7849678520497</v>
      </c>
      <c r="H20">
        <v>8184.4762000000001</v>
      </c>
      <c r="I20">
        <v>8509.4225000000006</v>
      </c>
      <c r="J20">
        <v>8394.3824999999797</v>
      </c>
      <c r="K20">
        <v>9495.9785000000102</v>
      </c>
      <c r="L20">
        <v>12451.916999999999</v>
      </c>
      <c r="M20">
        <v>18377.4532</v>
      </c>
      <c r="N20">
        <v>26900.699100000002</v>
      </c>
      <c r="O20">
        <v>38887.059000000001</v>
      </c>
      <c r="P20">
        <v>50953.797299999998</v>
      </c>
      <c r="Q20">
        <v>32395.992600000001</v>
      </c>
      <c r="R20">
        <v>38462.579400000002</v>
      </c>
      <c r="S20">
        <v>36391.406999999999</v>
      </c>
    </row>
    <row r="21" spans="1:19" x14ac:dyDescent="0.3">
      <c r="A21" s="4" t="s">
        <v>20</v>
      </c>
      <c r="B21">
        <v>5952.8720680807501</v>
      </c>
      <c r="C21">
        <v>7149.6104963387797</v>
      </c>
      <c r="D21">
        <v>8935.2531325029595</v>
      </c>
      <c r="E21">
        <v>10727.2562179089</v>
      </c>
      <c r="F21">
        <v>22307.4</v>
      </c>
      <c r="G21">
        <v>37805.229312887197</v>
      </c>
      <c r="H21">
        <v>67167.107621855699</v>
      </c>
      <c r="I21">
        <v>90034.710217390399</v>
      </c>
      <c r="J21">
        <v>65741.454799999803</v>
      </c>
      <c r="K21">
        <v>53181.674400000004</v>
      </c>
      <c r="L21">
        <v>80975.982000000004</v>
      </c>
      <c r="M21">
        <v>110302.85799999999</v>
      </c>
      <c r="N21">
        <v>129330.511</v>
      </c>
      <c r="O21">
        <v>187137.79800000001</v>
      </c>
      <c r="P21">
        <v>210239.43359999999</v>
      </c>
      <c r="Q21">
        <v>94831.829700000104</v>
      </c>
      <c r="R21">
        <v>124248.8688</v>
      </c>
      <c r="S21">
        <v>137724.8064</v>
      </c>
    </row>
    <row r="22" spans="1:19" x14ac:dyDescent="0.3">
      <c r="A22" s="4" t="s">
        <v>21</v>
      </c>
      <c r="B22">
        <v>15053.892936713401</v>
      </c>
      <c r="C22">
        <v>18226.898076794201</v>
      </c>
      <c r="D22">
        <v>29737.766964044298</v>
      </c>
      <c r="E22">
        <v>38858.972493086898</v>
      </c>
      <c r="F22">
        <v>51247.937031864902</v>
      </c>
      <c r="G22">
        <v>71207.046272174703</v>
      </c>
      <c r="H22">
        <v>109726.803519062</v>
      </c>
      <c r="I22">
        <v>98469.008914525402</v>
      </c>
      <c r="J22">
        <v>105050.57417389299</v>
      </c>
      <c r="K22">
        <v>94902.322946175598</v>
      </c>
      <c r="L22">
        <v>142560.09013520301</v>
      </c>
      <c r="M22">
        <v>179243.49166994201</v>
      </c>
      <c r="N22">
        <v>202216.40028146401</v>
      </c>
      <c r="O22">
        <v>259638.861371715</v>
      </c>
      <c r="P22">
        <v>311405.29499812901</v>
      </c>
      <c r="Q22">
        <v>184631.27032494301</v>
      </c>
      <c r="R22">
        <v>279631.98201362998</v>
      </c>
      <c r="S22">
        <v>333881.693667377</v>
      </c>
    </row>
    <row r="23" spans="1:19" x14ac:dyDescent="0.3">
      <c r="A23" s="4" t="s">
        <v>22</v>
      </c>
      <c r="B23">
        <v>88919.161879013205</v>
      </c>
      <c r="C23">
        <v>100796.797560046</v>
      </c>
      <c r="D23">
        <v>120543.242068666</v>
      </c>
      <c r="E23">
        <v>138922.60843731399</v>
      </c>
      <c r="F23">
        <v>165437.77915206499</v>
      </c>
      <c r="G23">
        <v>209630.095895387</v>
      </c>
      <c r="H23">
        <v>259995.03375844</v>
      </c>
      <c r="I23">
        <v>267273.94378246297</v>
      </c>
      <c r="J23">
        <v>243702.65426578399</v>
      </c>
      <c r="K23">
        <v>218272.085376406</v>
      </c>
      <c r="L23">
        <v>293656.20179481001</v>
      </c>
      <c r="M23">
        <v>339470.047720042</v>
      </c>
      <c r="N23">
        <v>357349.11740089802</v>
      </c>
      <c r="O23">
        <v>421497.05154470197</v>
      </c>
      <c r="P23">
        <v>511291.80186583701</v>
      </c>
      <c r="Q23">
        <v>318468.276769766</v>
      </c>
      <c r="R23">
        <v>398894.33187772898</v>
      </c>
      <c r="S23">
        <v>441373.90698169399</v>
      </c>
    </row>
    <row r="24" spans="1:19" x14ac:dyDescent="0.3">
      <c r="A24" s="4" t="s">
        <v>23</v>
      </c>
      <c r="B24">
        <v>636.57163455561101</v>
      </c>
      <c r="C24">
        <v>649.79427388363001</v>
      </c>
      <c r="D24">
        <v>840.79820704014503</v>
      </c>
      <c r="E24">
        <v>925.395227204344</v>
      </c>
      <c r="F24">
        <v>1096.51823467228</v>
      </c>
      <c r="G24">
        <v>1338.03800869576</v>
      </c>
      <c r="H24">
        <v>1725.55494302238</v>
      </c>
      <c r="I24">
        <v>1495.50398346528</v>
      </c>
      <c r="J24">
        <v>1271.46661874557</v>
      </c>
      <c r="K24">
        <v>1048.38733959717</v>
      </c>
      <c r="L24">
        <v>1419.1623050119199</v>
      </c>
      <c r="M24">
        <v>1635.35397026492</v>
      </c>
      <c r="N24">
        <v>1779.67408315424</v>
      </c>
      <c r="O24">
        <v>2113.9284080961202</v>
      </c>
      <c r="P24">
        <v>2317.7836569648698</v>
      </c>
      <c r="Q24">
        <v>1308.66367688792</v>
      </c>
      <c r="R24">
        <v>1721.07582950389</v>
      </c>
      <c r="S24">
        <v>1900.41120097467</v>
      </c>
    </row>
    <row r="25" spans="1:19" x14ac:dyDescent="0.3">
      <c r="A25" s="4" t="s">
        <v>24</v>
      </c>
      <c r="B25">
        <v>287395.7548</v>
      </c>
      <c r="C25">
        <v>291917.1875</v>
      </c>
      <c r="D25">
        <v>336303.5</v>
      </c>
      <c r="E25">
        <v>404674.152</v>
      </c>
      <c r="F25">
        <v>466938.85340000002</v>
      </c>
      <c r="G25">
        <v>505148.391</v>
      </c>
      <c r="H25">
        <v>675262.41480000096</v>
      </c>
      <c r="I25">
        <v>617132.13840000005</v>
      </c>
      <c r="J25">
        <v>585288.61439999996</v>
      </c>
      <c r="K25">
        <v>577640.10759999999</v>
      </c>
      <c r="L25">
        <v>753141.61529999902</v>
      </c>
      <c r="M25">
        <v>997195.33979999903</v>
      </c>
      <c r="N25">
        <v>1244888.9306000001</v>
      </c>
      <c r="O25">
        <v>1645798.83</v>
      </c>
      <c r="P25">
        <v>1872035.0586000001</v>
      </c>
      <c r="Q25">
        <v>1051094.2091999999</v>
      </c>
      <c r="R25">
        <v>1420358.1825000001</v>
      </c>
      <c r="S25">
        <v>1549605.4785</v>
      </c>
    </row>
    <row r="26" spans="1:19" x14ac:dyDescent="0.3">
      <c r="A26" s="4" t="s">
        <v>25</v>
      </c>
      <c r="B26">
        <v>543862</v>
      </c>
      <c r="C26">
        <v>626762</v>
      </c>
      <c r="D26">
        <v>790615</v>
      </c>
      <c r="E26">
        <v>1006135</v>
      </c>
      <c r="F26">
        <v>1207787</v>
      </c>
      <c r="G26">
        <v>1474983</v>
      </c>
      <c r="H26">
        <v>2003716</v>
      </c>
      <c r="I26">
        <v>1852842</v>
      </c>
      <c r="J26">
        <v>1612673</v>
      </c>
      <c r="K26">
        <v>1373980</v>
      </c>
      <c r="L26">
        <v>2079422</v>
      </c>
      <c r="M26">
        <v>2560418</v>
      </c>
      <c r="N26">
        <v>3317705</v>
      </c>
      <c r="O26">
        <v>4328960</v>
      </c>
      <c r="P26">
        <v>5247990</v>
      </c>
      <c r="Q26">
        <v>2748428</v>
      </c>
      <c r="R26">
        <v>3995295</v>
      </c>
      <c r="S26">
        <v>4900246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07A8-A7BD-4247-B805-91EEF2D8166F}">
  <dimension ref="A1:S26"/>
  <sheetViews>
    <sheetView workbookViewId="0">
      <selection activeCell="U8" sqref="U8"/>
    </sheetView>
  </sheetViews>
  <sheetFormatPr defaultRowHeight="14.4" x14ac:dyDescent="0.3"/>
  <cols>
    <col min="1" max="1" width="13.5546875" bestFit="1" customWidth="1"/>
    <col min="31" max="31" width="8.88671875" customWidth="1"/>
  </cols>
  <sheetData>
    <row r="1" spans="1:19" ht="15.6" customHeight="1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27</v>
      </c>
      <c r="L1" s="5"/>
      <c r="M1" s="5"/>
      <c r="N1" s="5"/>
      <c r="O1" s="5"/>
      <c r="P1" s="5"/>
      <c r="Q1" s="5"/>
      <c r="R1" s="5"/>
      <c r="S1" s="5"/>
    </row>
    <row r="2" spans="1:19" ht="15" customHeight="1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</row>
    <row r="3" spans="1:19" x14ac:dyDescent="0.3">
      <c r="A3" s="4" t="s">
        <v>2</v>
      </c>
      <c r="B3">
        <v>35939.113800000101</v>
      </c>
      <c r="C3">
        <v>46570.712400960001</v>
      </c>
      <c r="D3">
        <v>51341.675000000003</v>
      </c>
      <c r="E3">
        <v>61154.480410110198</v>
      </c>
      <c r="F3">
        <v>60327.1038242699</v>
      </c>
      <c r="G3">
        <v>73020.336689450196</v>
      </c>
      <c r="H3">
        <v>100804.84540000001</v>
      </c>
      <c r="I3">
        <v>84947.035999999905</v>
      </c>
      <c r="J3">
        <v>89130.336000000199</v>
      </c>
      <c r="K3">
        <v>87368.057199999806</v>
      </c>
      <c r="L3">
        <v>138978</v>
      </c>
      <c r="M3">
        <v>146733.21900000001</v>
      </c>
      <c r="N3">
        <v>182379.47750000001</v>
      </c>
      <c r="O3">
        <v>252366.14379999999</v>
      </c>
      <c r="P3">
        <v>325898.42720000102</v>
      </c>
      <c r="Q3">
        <v>173251.2672</v>
      </c>
      <c r="R3">
        <v>336652.31189999898</v>
      </c>
      <c r="S3">
        <v>402395.85460000002</v>
      </c>
    </row>
    <row r="4" spans="1:19" x14ac:dyDescent="0.3">
      <c r="A4" s="4" t="s">
        <v>3</v>
      </c>
      <c r="B4">
        <v>3590.5459935765498</v>
      </c>
      <c r="C4">
        <v>5378.7947853040396</v>
      </c>
      <c r="D4">
        <v>6988.5011895321204</v>
      </c>
      <c r="E4">
        <v>9056.0525835311291</v>
      </c>
      <c r="F4">
        <v>15661.679727697299</v>
      </c>
      <c r="G4">
        <v>15622.805822763299</v>
      </c>
      <c r="H4">
        <v>14745.0165</v>
      </c>
      <c r="I4">
        <v>19569.345499999999</v>
      </c>
      <c r="J4">
        <v>14919.7972262164</v>
      </c>
      <c r="K4">
        <v>17235.445140028802</v>
      </c>
      <c r="L4">
        <v>26470.539786977999</v>
      </c>
      <c r="M4">
        <v>45181.276815565201</v>
      </c>
      <c r="N4">
        <v>59235.693310504503</v>
      </c>
      <c r="O4">
        <v>92955.176999999996</v>
      </c>
      <c r="P4">
        <v>105124.13310000001</v>
      </c>
      <c r="Q4">
        <v>46804.262699999999</v>
      </c>
      <c r="R4">
        <v>60307.837800000001</v>
      </c>
      <c r="S4">
        <v>62709.2022</v>
      </c>
    </row>
    <row r="5" spans="1:19" x14ac:dyDescent="0.3">
      <c r="A5" s="4" t="s">
        <v>4</v>
      </c>
      <c r="B5">
        <v>8252.5616172805294</v>
      </c>
      <c r="C5">
        <v>9736.94542599136</v>
      </c>
      <c r="D5">
        <v>10011.898691144001</v>
      </c>
      <c r="E5">
        <v>11173.2541790345</v>
      </c>
      <c r="F5">
        <v>12099.1332611051</v>
      </c>
      <c r="G5">
        <v>17842.629683726402</v>
      </c>
      <c r="H5">
        <v>15470.84</v>
      </c>
      <c r="I5">
        <v>14236.65</v>
      </c>
      <c r="J5">
        <v>15663.3449</v>
      </c>
      <c r="K5">
        <v>18059.662700000001</v>
      </c>
      <c r="L5">
        <v>27884.513999999999</v>
      </c>
      <c r="M5">
        <v>44250.542699999998</v>
      </c>
      <c r="N5">
        <v>43015.401100000003</v>
      </c>
      <c r="O5">
        <v>57745.182000000001</v>
      </c>
      <c r="P5">
        <v>72899.864100000093</v>
      </c>
      <c r="Q5">
        <v>55814.128499999999</v>
      </c>
      <c r="R5">
        <v>107402.4924</v>
      </c>
      <c r="S5">
        <v>107017.59420000001</v>
      </c>
    </row>
    <row r="6" spans="1:19" x14ac:dyDescent="0.3">
      <c r="A6" s="4" t="s">
        <v>5</v>
      </c>
      <c r="B6">
        <v>41005.8431482628</v>
      </c>
      <c r="C6">
        <v>44812.445594097502</v>
      </c>
      <c r="D6">
        <v>57054.989871081198</v>
      </c>
      <c r="E6">
        <v>79913.583268107497</v>
      </c>
      <c r="F6">
        <v>84974.6798684487</v>
      </c>
      <c r="G6">
        <v>92862.1804325384</v>
      </c>
      <c r="H6">
        <v>145243.82386129</v>
      </c>
      <c r="I6">
        <v>152328.55815091301</v>
      </c>
      <c r="J6">
        <v>113270.302130478</v>
      </c>
      <c r="K6">
        <v>99394.956951126893</v>
      </c>
      <c r="L6">
        <v>172321.60394924201</v>
      </c>
      <c r="M6">
        <v>225899.23636091701</v>
      </c>
      <c r="N6">
        <v>280843.38834950601</v>
      </c>
      <c r="O6">
        <v>346101.12637089199</v>
      </c>
      <c r="P6">
        <v>418081.02688836597</v>
      </c>
      <c r="Q6">
        <v>209170.890358292</v>
      </c>
      <c r="R6">
        <v>353642.88181982702</v>
      </c>
      <c r="S6">
        <v>462355.37881700299</v>
      </c>
    </row>
    <row r="7" spans="1:19" x14ac:dyDescent="0.3">
      <c r="A7" s="4" t="s">
        <v>6</v>
      </c>
      <c r="B7">
        <v>3248.4311554079</v>
      </c>
      <c r="C7">
        <v>6740.0953476902796</v>
      </c>
      <c r="D7">
        <v>8294.2661377569402</v>
      </c>
      <c r="E7">
        <v>12448.4817898898</v>
      </c>
      <c r="F7">
        <v>20363.3167301494</v>
      </c>
      <c r="G7">
        <v>20556.1731777969</v>
      </c>
      <c r="H7">
        <v>20740.2551765151</v>
      </c>
      <c r="I7">
        <v>26023.315254659901</v>
      </c>
      <c r="J7">
        <v>23842.399503061999</v>
      </c>
      <c r="K7">
        <v>20671.5025386179</v>
      </c>
      <c r="L7">
        <v>31257.850094165398</v>
      </c>
      <c r="M7">
        <v>44458.7825510279</v>
      </c>
      <c r="N7">
        <v>49096.630350563697</v>
      </c>
      <c r="O7">
        <v>62886.388525806302</v>
      </c>
      <c r="P7">
        <v>83226.213228774694</v>
      </c>
      <c r="Q7">
        <v>45686.200306533698</v>
      </c>
      <c r="R7">
        <v>67033.390493439394</v>
      </c>
      <c r="S7">
        <v>92773.591292109806</v>
      </c>
    </row>
    <row r="8" spans="1:19" x14ac:dyDescent="0.3">
      <c r="A8" s="4" t="s">
        <v>7</v>
      </c>
      <c r="B8">
        <v>5251.1020831532496</v>
      </c>
      <c r="C8">
        <v>12767.330072524899</v>
      </c>
      <c r="D8">
        <v>14625.3384114165</v>
      </c>
      <c r="E8">
        <v>23456.792781929002</v>
      </c>
      <c r="F8">
        <v>28870.256608924999</v>
      </c>
      <c r="G8">
        <v>79721.742543171102</v>
      </c>
      <c r="H8">
        <v>219531.21960000001</v>
      </c>
      <c r="I8">
        <v>204361.0625</v>
      </c>
      <c r="J8">
        <v>128038.7892</v>
      </c>
      <c r="K8">
        <v>89172.754277</v>
      </c>
      <c r="L8">
        <v>103315.10505</v>
      </c>
      <c r="M8">
        <v>102974.337749</v>
      </c>
      <c r="N8">
        <v>119951.966782</v>
      </c>
      <c r="O8">
        <v>154812.79686</v>
      </c>
      <c r="P8">
        <v>229908.30890999999</v>
      </c>
      <c r="Q8">
        <v>96964.178522999995</v>
      </c>
      <c r="R8">
        <v>104051.700018</v>
      </c>
      <c r="S8">
        <v>97396.473167999997</v>
      </c>
    </row>
    <row r="9" spans="1:19" x14ac:dyDescent="0.3">
      <c r="A9" s="4" t="s">
        <v>8</v>
      </c>
      <c r="B9">
        <v>103818.1663981</v>
      </c>
      <c r="C9">
        <v>102207.25776281299</v>
      </c>
      <c r="D9">
        <v>120755.102040816</v>
      </c>
      <c r="E9">
        <v>155317.93011265999</v>
      </c>
      <c r="F9">
        <v>208580.35102954201</v>
      </c>
      <c r="G9">
        <v>300439.33761405898</v>
      </c>
      <c r="H9">
        <v>482208</v>
      </c>
      <c r="I9">
        <v>502116.41</v>
      </c>
      <c r="J9">
        <v>415991.22599999898</v>
      </c>
      <c r="K9">
        <v>345112.48820000002</v>
      </c>
      <c r="L9">
        <v>490900.31400000001</v>
      </c>
      <c r="M9">
        <v>593864.70319999999</v>
      </c>
      <c r="N9">
        <v>690443.01899999997</v>
      </c>
      <c r="O9">
        <v>990330.00300000003</v>
      </c>
      <c r="P9">
        <v>1060372.7672999999</v>
      </c>
      <c r="Q9">
        <v>624815.83949040005</v>
      </c>
      <c r="R9">
        <v>825769.74166260101</v>
      </c>
      <c r="S9">
        <v>774024.13096440001</v>
      </c>
    </row>
    <row r="10" spans="1:19" x14ac:dyDescent="0.3">
      <c r="A10" s="4" t="s">
        <v>9</v>
      </c>
      <c r="B10">
        <v>93608.295197821906</v>
      </c>
      <c r="C10">
        <v>99506.069214875999</v>
      </c>
      <c r="D10">
        <v>110776.421346355</v>
      </c>
      <c r="E10">
        <v>140288.783123231</v>
      </c>
      <c r="F10">
        <v>186976.17320461999</v>
      </c>
      <c r="G10">
        <v>289976.09085475199</v>
      </c>
      <c r="H10">
        <v>375408.97399999999</v>
      </c>
      <c r="I10">
        <v>300752.48800000001</v>
      </c>
      <c r="J10">
        <v>294687.33139999898</v>
      </c>
      <c r="K10">
        <v>212677.4087</v>
      </c>
      <c r="L10">
        <v>362453.21399999998</v>
      </c>
      <c r="M10">
        <v>399719.14179999998</v>
      </c>
      <c r="N10">
        <v>449332.39390000002</v>
      </c>
      <c r="O10">
        <v>820184.13899999997</v>
      </c>
      <c r="P10">
        <v>1173072.327</v>
      </c>
      <c r="Q10">
        <v>525103.71869999997</v>
      </c>
      <c r="R10">
        <v>768754.58100000105</v>
      </c>
      <c r="S10">
        <v>831259.37340000004</v>
      </c>
    </row>
    <row r="11" spans="1:19" x14ac:dyDescent="0.3">
      <c r="A11" s="4" t="s">
        <v>10</v>
      </c>
      <c r="B11">
        <v>1450.9923185904599</v>
      </c>
      <c r="C11">
        <v>2111.8727033519199</v>
      </c>
      <c r="D11">
        <v>2917.6321492100401</v>
      </c>
      <c r="E11">
        <v>4368.4294329615896</v>
      </c>
      <c r="F11">
        <v>5625.0040272614597</v>
      </c>
      <c r="G11">
        <v>12001</v>
      </c>
      <c r="H11">
        <v>15210.6486</v>
      </c>
      <c r="I11">
        <v>9584.15</v>
      </c>
      <c r="J11">
        <v>7711.37499999998</v>
      </c>
      <c r="K11">
        <v>8425.2558000000008</v>
      </c>
      <c r="L11">
        <v>16139.877</v>
      </c>
      <c r="M11">
        <v>28386.164000000001</v>
      </c>
      <c r="N11">
        <v>37962.745999999999</v>
      </c>
      <c r="O11">
        <v>60247.482000000004</v>
      </c>
      <c r="P11">
        <v>93547.538700000106</v>
      </c>
      <c r="Q11">
        <v>23892.705600000001</v>
      </c>
      <c r="R11">
        <v>28114.749599999999</v>
      </c>
      <c r="S11">
        <v>17106.0324</v>
      </c>
    </row>
    <row r="12" spans="1:19" x14ac:dyDescent="0.3">
      <c r="A12" s="4" t="s">
        <v>11</v>
      </c>
      <c r="B12">
        <v>0.46433676214610098</v>
      </c>
      <c r="C12">
        <v>0.60383707695394295</v>
      </c>
      <c r="D12">
        <v>1.0280768729620999</v>
      </c>
      <c r="E12">
        <v>2.4370003038158301</v>
      </c>
      <c r="F12">
        <v>1.72920045750212</v>
      </c>
      <c r="G12">
        <v>6.4168630933272697</v>
      </c>
      <c r="H12">
        <v>60.372451308900501</v>
      </c>
      <c r="I12">
        <v>30.747257720449799</v>
      </c>
      <c r="J12">
        <v>117.82418649829999</v>
      </c>
      <c r="K12">
        <v>236.41102010424399</v>
      </c>
      <c r="L12">
        <v>292.97084096351603</v>
      </c>
      <c r="M12">
        <v>781.25819134993503</v>
      </c>
      <c r="N12">
        <v>3722.0069863448698</v>
      </c>
      <c r="O12">
        <v>4992.31091264304</v>
      </c>
      <c r="P12">
        <v>5845.3839935327396</v>
      </c>
      <c r="Q12">
        <v>103.665616188423</v>
      </c>
      <c r="R12">
        <v>493.85108086469199</v>
      </c>
      <c r="S12">
        <v>465.962624945676</v>
      </c>
    </row>
    <row r="13" spans="1:19" x14ac:dyDescent="0.3">
      <c r="A13" s="4" t="s">
        <v>12</v>
      </c>
      <c r="B13">
        <v>16319.9745477178</v>
      </c>
      <c r="C13">
        <v>20612.312519304</v>
      </c>
      <c r="D13">
        <v>30857.853182531599</v>
      </c>
      <c r="E13">
        <v>44596.626229295201</v>
      </c>
      <c r="F13">
        <v>63195.042509999999</v>
      </c>
      <c r="G13">
        <v>109688.501</v>
      </c>
      <c r="H13">
        <v>160645.58600000001</v>
      </c>
      <c r="I13">
        <v>217502.514</v>
      </c>
      <c r="J13">
        <v>279224.92289999902</v>
      </c>
      <c r="K13">
        <v>343771.2009</v>
      </c>
      <c r="L13">
        <v>481711.989</v>
      </c>
      <c r="M13">
        <v>613830.36499999999</v>
      </c>
      <c r="N13">
        <v>712329.99309999996</v>
      </c>
      <c r="O13">
        <v>950794.98</v>
      </c>
      <c r="P13">
        <v>1155092.0976</v>
      </c>
      <c r="Q13">
        <v>889190.530800001</v>
      </c>
      <c r="R13">
        <v>1177526.2716000001</v>
      </c>
      <c r="S13">
        <v>1407712.0878000001</v>
      </c>
    </row>
    <row r="14" spans="1:19" x14ac:dyDescent="0.3">
      <c r="A14" s="4" t="s">
        <v>13</v>
      </c>
      <c r="B14">
        <v>39717.947554104197</v>
      </c>
      <c r="C14">
        <v>39699.746579163802</v>
      </c>
      <c r="D14">
        <v>58679.4909993029</v>
      </c>
      <c r="E14">
        <v>97281.610720326207</v>
      </c>
      <c r="F14">
        <v>140964.883893433</v>
      </c>
      <c r="G14">
        <v>230761.599419273</v>
      </c>
      <c r="H14">
        <v>196208.42600000001</v>
      </c>
      <c r="I14">
        <v>195863.7365</v>
      </c>
      <c r="J14">
        <v>156569.11410000001</v>
      </c>
      <c r="K14">
        <v>154973.73989999999</v>
      </c>
      <c r="L14">
        <v>213863.79</v>
      </c>
      <c r="M14">
        <v>291745.47480000003</v>
      </c>
      <c r="N14">
        <v>292877.04080000002</v>
      </c>
      <c r="O14">
        <v>400416.72899999999</v>
      </c>
      <c r="P14">
        <v>419413.06679999997</v>
      </c>
      <c r="Q14">
        <v>186156.5754</v>
      </c>
      <c r="R14">
        <v>245736.10740000001</v>
      </c>
      <c r="S14">
        <v>203909.46479999999</v>
      </c>
    </row>
    <row r="15" spans="1:19" x14ac:dyDescent="0.3">
      <c r="A15" s="4" t="s">
        <v>14</v>
      </c>
      <c r="B15">
        <v>171170</v>
      </c>
      <c r="C15">
        <v>250879.386404652</v>
      </c>
      <c r="D15">
        <v>306282.21336185897</v>
      </c>
      <c r="E15">
        <v>312550.29327504698</v>
      </c>
      <c r="F15">
        <v>277310.16685605998</v>
      </c>
      <c r="G15">
        <v>302013.45436665299</v>
      </c>
      <c r="H15">
        <v>825970.42501996097</v>
      </c>
      <c r="I15">
        <v>550232.95418895199</v>
      </c>
      <c r="J15">
        <v>376048.35472759901</v>
      </c>
      <c r="K15">
        <v>339928.26796889998</v>
      </c>
      <c r="L15">
        <v>561022.13177504996</v>
      </c>
      <c r="M15">
        <v>743302.21884610096</v>
      </c>
      <c r="N15">
        <v>1126068.4919894901</v>
      </c>
      <c r="O15">
        <v>1254952.7544941599</v>
      </c>
      <c r="P15">
        <v>1245889.78769965</v>
      </c>
      <c r="Q15">
        <v>756199.82332473795</v>
      </c>
      <c r="R15">
        <v>829589.24009048496</v>
      </c>
      <c r="S15">
        <v>988790.62016942899</v>
      </c>
    </row>
    <row r="16" spans="1:19" x14ac:dyDescent="0.3">
      <c r="A16" s="4" t="s">
        <v>15</v>
      </c>
      <c r="B16">
        <v>48570.367941053199</v>
      </c>
      <c r="C16">
        <v>30351.578777856499</v>
      </c>
      <c r="D16">
        <v>24204.041232249201</v>
      </c>
      <c r="E16">
        <v>30348.310960868799</v>
      </c>
      <c r="F16">
        <v>48767.003346198602</v>
      </c>
      <c r="G16">
        <v>31529.511246718601</v>
      </c>
      <c r="H16">
        <v>59904.37144553</v>
      </c>
      <c r="I16">
        <v>47291.188150502101</v>
      </c>
      <c r="J16">
        <v>54939.53</v>
      </c>
      <c r="K16">
        <v>44563.5</v>
      </c>
      <c r="L16">
        <v>56515.88</v>
      </c>
      <c r="M16">
        <v>73966.59</v>
      </c>
      <c r="N16">
        <v>106558.723847</v>
      </c>
      <c r="O16">
        <v>154231.90714900001</v>
      </c>
      <c r="P16">
        <v>154433.10607800001</v>
      </c>
      <c r="Q16">
        <v>148697.19</v>
      </c>
      <c r="R16">
        <v>134384.01703399999</v>
      </c>
      <c r="S16">
        <v>161334.010316</v>
      </c>
    </row>
    <row r="17" spans="1:19" x14ac:dyDescent="0.3">
      <c r="A17" s="4" t="s">
        <v>16</v>
      </c>
      <c r="B17">
        <v>92380.081405533507</v>
      </c>
      <c r="C17">
        <v>105238.55143795699</v>
      </c>
      <c r="D17">
        <v>129955.123410621</v>
      </c>
      <c r="E17">
        <v>179628.35512732301</v>
      </c>
      <c r="F17">
        <v>224691.65179456701</v>
      </c>
      <c r="G17">
        <v>308671.11393477302</v>
      </c>
      <c r="H17">
        <v>363795.79800000001</v>
      </c>
      <c r="I17">
        <v>350571.45799999998</v>
      </c>
      <c r="J17">
        <v>283977.77380000002</v>
      </c>
      <c r="K17">
        <v>262250.50640000001</v>
      </c>
      <c r="L17">
        <v>325418.26500000001</v>
      </c>
      <c r="M17">
        <v>380574.82630000002</v>
      </c>
      <c r="N17">
        <v>548090.97939999995</v>
      </c>
      <c r="O17">
        <v>700123.78500000003</v>
      </c>
      <c r="P17">
        <v>685184.52870000002</v>
      </c>
      <c r="Q17">
        <v>359648.68079999997</v>
      </c>
      <c r="R17">
        <v>472610.43900000001</v>
      </c>
      <c r="S17">
        <v>507373.8468</v>
      </c>
    </row>
    <row r="18" spans="1:19" x14ac:dyDescent="0.3">
      <c r="A18" s="4" t="s">
        <v>17</v>
      </c>
      <c r="B18">
        <v>3722.4353093661298</v>
      </c>
      <c r="C18">
        <v>4565.52581915885</v>
      </c>
      <c r="D18">
        <v>6210.15743854845</v>
      </c>
      <c r="E18">
        <v>7685.54593935501</v>
      </c>
      <c r="F18">
        <v>7467.5298000000003</v>
      </c>
      <c r="G18">
        <v>6870.9883530173602</v>
      </c>
      <c r="H18">
        <v>7891.4715648436204</v>
      </c>
      <c r="I18">
        <v>4582.0418</v>
      </c>
      <c r="J18">
        <v>4169.9579999999996</v>
      </c>
      <c r="K18">
        <v>5651.97749999999</v>
      </c>
      <c r="L18">
        <v>8964.7999999999902</v>
      </c>
      <c r="M18">
        <v>12077.7408</v>
      </c>
      <c r="N18">
        <v>11489.0854</v>
      </c>
      <c r="O18">
        <v>11818.177799999999</v>
      </c>
      <c r="P18">
        <v>12533.382</v>
      </c>
      <c r="Q18">
        <v>5738.1415000000097</v>
      </c>
      <c r="R18">
        <v>9232.7080999999998</v>
      </c>
      <c r="S18">
        <v>9229.4761999999992</v>
      </c>
    </row>
    <row r="19" spans="1:19" x14ac:dyDescent="0.3">
      <c r="A19" s="4" t="s">
        <v>18</v>
      </c>
      <c r="B19">
        <v>9558.6625317485395</v>
      </c>
      <c r="C19">
        <v>12663.8041093802</v>
      </c>
      <c r="D19">
        <v>14136.8470635839</v>
      </c>
      <c r="E19">
        <v>17644.6528026386</v>
      </c>
      <c r="F19">
        <v>17310.016964734201</v>
      </c>
      <c r="G19">
        <v>11907.232911212101</v>
      </c>
      <c r="H19">
        <v>14253.569364892601</v>
      </c>
      <c r="I19">
        <v>15581.198681931701</v>
      </c>
      <c r="J19">
        <v>15977.432000000001</v>
      </c>
      <c r="K19">
        <v>15319.972</v>
      </c>
      <c r="L19">
        <v>22512.701000000001</v>
      </c>
      <c r="M19">
        <v>40549.337748344398</v>
      </c>
      <c r="N19">
        <v>58822.0088626293</v>
      </c>
      <c r="O19">
        <v>100857.188498403</v>
      </c>
      <c r="P19">
        <v>132994.45471349399</v>
      </c>
      <c r="Q19">
        <v>40754.571428571398</v>
      </c>
      <c r="R19">
        <v>76559.515570934294</v>
      </c>
      <c r="S19">
        <v>87419.624573378795</v>
      </c>
    </row>
    <row r="20" spans="1:19" x14ac:dyDescent="0.3">
      <c r="A20" s="4" t="s">
        <v>19</v>
      </c>
      <c r="B20">
        <v>2929.0998348528401</v>
      </c>
      <c r="C20">
        <v>3597.2670073478998</v>
      </c>
      <c r="D20">
        <v>3650.95431126838</v>
      </c>
      <c r="E20">
        <v>6550.7847884663997</v>
      </c>
      <c r="F20">
        <v>12618.0738604079</v>
      </c>
      <c r="G20">
        <v>18806.043396423302</v>
      </c>
      <c r="H20">
        <v>22928.990399999999</v>
      </c>
      <c r="I20">
        <v>21934.676500000001</v>
      </c>
      <c r="J20">
        <v>18131.8662</v>
      </c>
      <c r="K20">
        <v>19551.962800000001</v>
      </c>
      <c r="L20">
        <v>37423.953000000001</v>
      </c>
      <c r="M20">
        <v>51111.440399999999</v>
      </c>
      <c r="N20">
        <v>53118.351900000001</v>
      </c>
      <c r="O20">
        <v>70148.687999999995</v>
      </c>
      <c r="P20">
        <v>82428.767399999997</v>
      </c>
      <c r="Q20">
        <v>64679.2575</v>
      </c>
      <c r="R20">
        <v>77867.311199999996</v>
      </c>
      <c r="S20">
        <v>68194.303199999995</v>
      </c>
    </row>
    <row r="21" spans="1:19" x14ac:dyDescent="0.3">
      <c r="A21" s="4" t="s">
        <v>20</v>
      </c>
      <c r="B21">
        <v>22817.725399749699</v>
      </c>
      <c r="C21">
        <v>24146.228527619001</v>
      </c>
      <c r="D21">
        <v>32460.525990659698</v>
      </c>
      <c r="E21">
        <v>39162.064368691703</v>
      </c>
      <c r="F21">
        <v>46973.672067606203</v>
      </c>
      <c r="G21">
        <v>75774.686780781194</v>
      </c>
      <c r="H21">
        <v>146619.36079999999</v>
      </c>
      <c r="I21">
        <v>137268.2905</v>
      </c>
      <c r="J21">
        <v>127040.2763</v>
      </c>
      <c r="K21">
        <v>122663.2929</v>
      </c>
      <c r="L21">
        <v>186769.91399999999</v>
      </c>
      <c r="M21">
        <v>249550.34099999999</v>
      </c>
      <c r="N21">
        <v>232810.25589999999</v>
      </c>
      <c r="O21">
        <v>323564.511</v>
      </c>
      <c r="P21">
        <v>415619.46509999997</v>
      </c>
      <c r="Q21">
        <v>236788.01310000001</v>
      </c>
      <c r="R21">
        <v>320704.9314</v>
      </c>
      <c r="S21">
        <v>241893.62220000001</v>
      </c>
    </row>
    <row r="22" spans="1:19" x14ac:dyDescent="0.3">
      <c r="A22" s="4" t="s">
        <v>21</v>
      </c>
      <c r="B22">
        <v>21798.0369723611</v>
      </c>
      <c r="C22">
        <v>35917.710916035699</v>
      </c>
      <c r="D22">
        <v>48061.037517647397</v>
      </c>
      <c r="E22">
        <v>70295.444622325696</v>
      </c>
      <c r="F22">
        <v>79471.880157420295</v>
      </c>
      <c r="G22">
        <v>94032.998387296902</v>
      </c>
      <c r="H22">
        <v>136070.38123167201</v>
      </c>
      <c r="I22">
        <v>126018.45831148401</v>
      </c>
      <c r="J22">
        <v>78435.153503632493</v>
      </c>
      <c r="K22">
        <v>56310.934844192598</v>
      </c>
      <c r="L22">
        <v>89737.522951093299</v>
      </c>
      <c r="M22">
        <v>124104.405406223</v>
      </c>
      <c r="N22">
        <v>141279.65420185</v>
      </c>
      <c r="O22">
        <v>209105.52998076999</v>
      </c>
      <c r="P22">
        <v>204057.00386678299</v>
      </c>
      <c r="Q22">
        <v>86848.001433948695</v>
      </c>
      <c r="R22">
        <v>140041.733998454</v>
      </c>
      <c r="S22">
        <v>202626.94308240301</v>
      </c>
    </row>
    <row r="23" spans="1:19" x14ac:dyDescent="0.3">
      <c r="A23" s="4" t="s">
        <v>22</v>
      </c>
      <c r="B23">
        <v>139055.76208178399</v>
      </c>
      <c r="C23">
        <v>134720.548989706</v>
      </c>
      <c r="D23">
        <v>179289.87396783999</v>
      </c>
      <c r="E23">
        <v>176566.39928698799</v>
      </c>
      <c r="F23">
        <v>246515.495086924</v>
      </c>
      <c r="G23">
        <v>323906.32618961099</v>
      </c>
      <c r="H23">
        <v>314257.14303575899</v>
      </c>
      <c r="I23">
        <v>382037.73846623901</v>
      </c>
      <c r="J23">
        <v>321677.930602754</v>
      </c>
      <c r="K23">
        <v>314770.41029708699</v>
      </c>
      <c r="L23">
        <v>402623.466731344</v>
      </c>
      <c r="M23">
        <v>456669.32661717897</v>
      </c>
      <c r="N23">
        <v>536489.86532755103</v>
      </c>
      <c r="O23">
        <v>684249.85167581798</v>
      </c>
      <c r="P23">
        <v>725643.80719680199</v>
      </c>
      <c r="Q23">
        <v>548109.89188680996</v>
      </c>
      <c r="R23">
        <v>727333.80307898205</v>
      </c>
      <c r="S23">
        <v>780821.00514290796</v>
      </c>
    </row>
    <row r="24" spans="1:19" x14ac:dyDescent="0.3">
      <c r="A24" s="4" t="s">
        <v>23</v>
      </c>
      <c r="B24">
        <v>2409.4012742551699</v>
      </c>
      <c r="C24">
        <v>2135.0215317132702</v>
      </c>
      <c r="D24">
        <v>2170.7879190543199</v>
      </c>
      <c r="E24">
        <v>3085</v>
      </c>
      <c r="F24">
        <v>6018</v>
      </c>
      <c r="G24">
        <v>3700</v>
      </c>
      <c r="H24">
        <v>15358</v>
      </c>
      <c r="I24">
        <v>7404</v>
      </c>
      <c r="J24">
        <v>5635</v>
      </c>
      <c r="K24">
        <v>3450</v>
      </c>
      <c r="L24">
        <v>8954</v>
      </c>
      <c r="M24">
        <v>16141</v>
      </c>
      <c r="N24">
        <v>33387</v>
      </c>
      <c r="O24">
        <v>33816</v>
      </c>
      <c r="P24">
        <v>64201</v>
      </c>
      <c r="Q24">
        <v>23120</v>
      </c>
      <c r="R24">
        <v>47080</v>
      </c>
      <c r="S24">
        <v>61311</v>
      </c>
    </row>
    <row r="25" spans="1:19" x14ac:dyDescent="0.3">
      <c r="A25" s="4" t="s">
        <v>24</v>
      </c>
      <c r="B25">
        <v>198058.658</v>
      </c>
      <c r="C25">
        <v>197095.3125</v>
      </c>
      <c r="D25">
        <v>267660.2</v>
      </c>
      <c r="E25">
        <v>383894.02799999999</v>
      </c>
      <c r="F25">
        <v>499229.29840000003</v>
      </c>
      <c r="G25">
        <v>668896.67700000003</v>
      </c>
      <c r="H25">
        <v>1122161.4539999999</v>
      </c>
      <c r="I25">
        <v>1162077.6096000001</v>
      </c>
      <c r="J25">
        <v>934257.75520000001</v>
      </c>
      <c r="K25">
        <v>792502.71840000001</v>
      </c>
      <c r="L25">
        <v>1096728.4898999999</v>
      </c>
      <c r="M25">
        <v>1324467.2069999999</v>
      </c>
      <c r="N25">
        <v>1319149.3119000001</v>
      </c>
      <c r="O25">
        <v>1708442.0859999999</v>
      </c>
      <c r="P25">
        <v>1942113.9905999999</v>
      </c>
      <c r="Q25">
        <v>972762.24179999996</v>
      </c>
      <c r="R25">
        <v>1457253.6314999999</v>
      </c>
      <c r="S25">
        <v>1504639.622</v>
      </c>
    </row>
    <row r="26" spans="1:19" x14ac:dyDescent="0.3">
      <c r="A26" s="4" t="s">
        <v>25</v>
      </c>
      <c r="B26">
        <v>373521</v>
      </c>
      <c r="C26">
        <v>397720</v>
      </c>
      <c r="D26">
        <v>549513</v>
      </c>
      <c r="E26">
        <v>672397</v>
      </c>
      <c r="F26">
        <v>952893</v>
      </c>
      <c r="G26">
        <v>1250342</v>
      </c>
      <c r="H26">
        <v>1611534</v>
      </c>
      <c r="I26">
        <v>1643205</v>
      </c>
      <c r="J26">
        <v>1572681</v>
      </c>
      <c r="K26">
        <v>1335792</v>
      </c>
      <c r="L26">
        <v>1839509</v>
      </c>
      <c r="M26">
        <v>2123259</v>
      </c>
      <c r="N26">
        <v>2304013</v>
      </c>
      <c r="O26">
        <v>2791893</v>
      </c>
      <c r="P26">
        <v>3231651</v>
      </c>
      <c r="Q26">
        <v>2132433</v>
      </c>
      <c r="R26">
        <v>2917681</v>
      </c>
      <c r="S26">
        <v>3545769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F2D-BC1D-494E-98E6-EA4249B3E7D1}">
  <dimension ref="A1:S720"/>
  <sheetViews>
    <sheetView workbookViewId="0">
      <selection activeCell="K1" sqref="K1:M1"/>
    </sheetView>
  </sheetViews>
  <sheetFormatPr defaultRowHeight="14.4" x14ac:dyDescent="0.3"/>
  <cols>
    <col min="2" max="5" width="16.6640625" bestFit="1" customWidth="1"/>
    <col min="6" max="31" width="17.77734375" bestFit="1" customWidth="1"/>
  </cols>
  <sheetData>
    <row r="1" spans="1:19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29</v>
      </c>
      <c r="L1" s="5"/>
      <c r="M1" s="5"/>
      <c r="N1" s="5"/>
      <c r="O1" s="5"/>
      <c r="P1" s="5"/>
      <c r="Q1" s="5"/>
      <c r="R1" s="5"/>
      <c r="S1" s="5"/>
    </row>
    <row r="2" spans="1:19" x14ac:dyDescent="0.3">
      <c r="A2" s="3" t="s">
        <v>1</v>
      </c>
      <c r="B2" s="3">
        <v>1993</v>
      </c>
      <c r="C2" s="3">
        <v>1994</v>
      </c>
      <c r="D2" s="3">
        <v>1995</v>
      </c>
      <c r="E2" s="3">
        <v>1996</v>
      </c>
      <c r="F2" s="3">
        <v>1997</v>
      </c>
      <c r="G2" s="3">
        <v>1998</v>
      </c>
      <c r="H2" s="3">
        <v>1999</v>
      </c>
      <c r="I2" s="3">
        <v>2000</v>
      </c>
      <c r="J2" s="3">
        <v>2001</v>
      </c>
      <c r="K2" s="3">
        <v>2002</v>
      </c>
      <c r="L2" s="3">
        <v>2003</v>
      </c>
      <c r="M2" s="3">
        <v>2004</v>
      </c>
      <c r="N2" s="3">
        <v>2005</v>
      </c>
      <c r="O2" s="3">
        <v>2006</v>
      </c>
      <c r="P2" s="3">
        <v>2007</v>
      </c>
      <c r="Q2" s="3">
        <v>2008</v>
      </c>
      <c r="R2" s="3">
        <v>2009</v>
      </c>
      <c r="S2" s="3">
        <v>2010</v>
      </c>
    </row>
    <row r="3" spans="1:19" x14ac:dyDescent="0.3">
      <c r="A3" s="4" t="s">
        <v>2</v>
      </c>
      <c r="B3" s="6">
        <v>204866027520</v>
      </c>
      <c r="C3" s="6">
        <v>218865188864</v>
      </c>
      <c r="D3" s="6">
        <v>245218329200</v>
      </c>
      <c r="E3" s="6">
        <v>311980937300</v>
      </c>
      <c r="F3" s="6">
        <v>295784843900</v>
      </c>
      <c r="G3" s="6">
        <v>328948659800</v>
      </c>
      <c r="H3" s="6">
        <v>427683397700</v>
      </c>
      <c r="I3" s="6">
        <v>372794400000</v>
      </c>
      <c r="J3" s="6">
        <v>375130790888.14948</v>
      </c>
      <c r="K3" s="6">
        <v>378845655723.85834</v>
      </c>
      <c r="L3" s="6">
        <v>585475096074.14673</v>
      </c>
      <c r="M3" s="6">
        <v>776402759269.42065</v>
      </c>
      <c r="N3" s="6">
        <v>804073802362.26245</v>
      </c>
      <c r="O3" s="6">
        <v>1095857964845.9053</v>
      </c>
      <c r="P3" s="6">
        <v>1298429048000</v>
      </c>
      <c r="Q3" s="6">
        <v>675618871200</v>
      </c>
      <c r="R3" s="6">
        <v>1258455637300</v>
      </c>
      <c r="S3" s="6">
        <v>1454546975050</v>
      </c>
    </row>
    <row r="4" spans="1:19" x14ac:dyDescent="0.3">
      <c r="A4" s="4" t="s">
        <v>3</v>
      </c>
      <c r="B4" s="6">
        <v>28437000192</v>
      </c>
      <c r="C4" s="6">
        <v>30272000000</v>
      </c>
      <c r="D4" s="6">
        <v>32513000000</v>
      </c>
      <c r="E4" s="6">
        <v>33953000000</v>
      </c>
      <c r="F4" s="6">
        <v>35724000000</v>
      </c>
      <c r="G4" s="6">
        <v>34106000000</v>
      </c>
      <c r="H4" s="6">
        <v>33024519200.000004</v>
      </c>
      <c r="I4" s="6">
        <v>29935200000</v>
      </c>
      <c r="J4" s="6">
        <v>24511619624.254299</v>
      </c>
      <c r="K4" s="6">
        <v>31899464791.68853</v>
      </c>
      <c r="L4" s="6">
        <v>55085771947.527756</v>
      </c>
      <c r="M4" s="6">
        <v>86343618322.685867</v>
      </c>
      <c r="N4" s="6">
        <v>124389524595.96556</v>
      </c>
      <c r="O4" s="6">
        <v>191300276935.24991</v>
      </c>
      <c r="P4" s="6">
        <v>228707413000</v>
      </c>
      <c r="Q4" s="6">
        <v>72299836620</v>
      </c>
      <c r="R4" s="6">
        <v>53578044955.567177</v>
      </c>
      <c r="S4" s="6">
        <v>67682829562.81913</v>
      </c>
    </row>
    <row r="5" spans="1:19" x14ac:dyDescent="0.3">
      <c r="A5" s="4" t="s">
        <v>4</v>
      </c>
      <c r="B5" s="6">
        <v>78066999296</v>
      </c>
      <c r="C5" s="6">
        <v>84102995968</v>
      </c>
      <c r="D5" s="6">
        <v>104960000000</v>
      </c>
      <c r="E5" s="6">
        <v>119831000000</v>
      </c>
      <c r="F5" s="6">
        <v>136965000000</v>
      </c>
      <c r="G5" s="6">
        <v>245657000000</v>
      </c>
      <c r="H5" s="6">
        <v>184941973500</v>
      </c>
      <c r="I5" s="6">
        <v>182481000000</v>
      </c>
      <c r="J5" s="6">
        <v>165843000000</v>
      </c>
      <c r="K5" s="6">
        <v>127556300000</v>
      </c>
      <c r="L5" s="6">
        <v>173552623612.5126</v>
      </c>
      <c r="M5" s="6">
        <v>273247424221.82956</v>
      </c>
      <c r="N5" s="6">
        <v>288515086705.20227</v>
      </c>
      <c r="O5" s="6">
        <v>396220182861.83569</v>
      </c>
      <c r="P5" s="6">
        <v>386361615000</v>
      </c>
      <c r="Q5" s="6">
        <v>167446797445.85471</v>
      </c>
      <c r="R5" s="6">
        <v>261428769306.72546</v>
      </c>
      <c r="S5" s="6">
        <v>269341845093.43649</v>
      </c>
    </row>
    <row r="6" spans="1:19" x14ac:dyDescent="0.3">
      <c r="A6" s="4" t="s">
        <v>5</v>
      </c>
      <c r="B6" s="6">
        <v>326524010496</v>
      </c>
      <c r="C6" s="6">
        <v>315009007616</v>
      </c>
      <c r="D6" s="6">
        <v>366344000000</v>
      </c>
      <c r="E6" s="6">
        <v>486268000000</v>
      </c>
      <c r="F6" s="6">
        <v>567635000000</v>
      </c>
      <c r="G6" s="6">
        <v>543394000000</v>
      </c>
      <c r="H6" s="6">
        <v>800914352600</v>
      </c>
      <c r="I6" s="6">
        <v>841385200000</v>
      </c>
      <c r="J6" s="6">
        <v>700751000000</v>
      </c>
      <c r="K6" s="6">
        <v>575316000000</v>
      </c>
      <c r="L6" s="6">
        <v>893950321132.86389</v>
      </c>
      <c r="M6" s="6">
        <v>1177517943582.0398</v>
      </c>
      <c r="N6" s="6">
        <v>1480891114535.1824</v>
      </c>
      <c r="O6" s="6">
        <v>1700708086276.532</v>
      </c>
      <c r="P6" s="6">
        <v>2186550151975.6838</v>
      </c>
      <c r="Q6" s="6">
        <v>1002215228837.5862</v>
      </c>
      <c r="R6" s="6">
        <v>1680958122674.8066</v>
      </c>
      <c r="S6" s="6">
        <v>2160228651939.8181</v>
      </c>
    </row>
    <row r="7" spans="1:19" x14ac:dyDescent="0.3">
      <c r="A7" s="4" t="s">
        <v>6</v>
      </c>
      <c r="B7" s="6">
        <v>41784999936</v>
      </c>
      <c r="C7" s="6">
        <v>54399000576</v>
      </c>
      <c r="D7" s="6">
        <v>56223000000</v>
      </c>
      <c r="E7" s="6">
        <v>71688000000</v>
      </c>
      <c r="F7" s="6">
        <v>93766000000</v>
      </c>
      <c r="G7" s="6">
        <v>98881000000</v>
      </c>
      <c r="H7" s="6">
        <v>105292683600</v>
      </c>
      <c r="I7" s="6">
        <v>107666000000</v>
      </c>
      <c r="J7" s="6">
        <v>88370377466.947678</v>
      </c>
      <c r="K7" s="6">
        <v>76787730000</v>
      </c>
      <c r="L7" s="6">
        <v>121616265266.80444</v>
      </c>
      <c r="M7" s="6">
        <v>151342345710.9816</v>
      </c>
      <c r="N7" s="6">
        <v>178038272937.13449</v>
      </c>
      <c r="O7" s="6">
        <v>231014611266.12653</v>
      </c>
      <c r="P7" s="6">
        <v>277746365083.78265</v>
      </c>
      <c r="Q7" s="6">
        <v>131525683284.62178</v>
      </c>
      <c r="R7" s="6">
        <v>186852391333.70633</v>
      </c>
      <c r="S7" s="6">
        <v>231746131758.73337</v>
      </c>
    </row>
    <row r="8" spans="1:19" x14ac:dyDescent="0.3">
      <c r="A8" s="4" t="s">
        <v>7</v>
      </c>
      <c r="B8" s="6">
        <v>23562000384</v>
      </c>
      <c r="C8" s="6">
        <v>38278000640</v>
      </c>
      <c r="D8" s="6">
        <v>44138000000</v>
      </c>
      <c r="E8" s="6">
        <v>63078000000</v>
      </c>
      <c r="F8" s="6">
        <v>73322000000</v>
      </c>
      <c r="G8" s="6">
        <v>154518000000</v>
      </c>
      <c r="H8" s="6">
        <v>349408611200</v>
      </c>
      <c r="I8" s="6">
        <v>293634800000</v>
      </c>
      <c r="J8" s="6">
        <v>190456000000</v>
      </c>
      <c r="K8" s="6">
        <v>138832600000</v>
      </c>
      <c r="L8" s="6">
        <v>170283211499.74774</v>
      </c>
      <c r="M8" s="6">
        <v>183765377209.07977</v>
      </c>
      <c r="N8" s="6">
        <v>209504459124.69034</v>
      </c>
      <c r="O8" s="6">
        <v>265476506832.71793</v>
      </c>
      <c r="P8" s="6">
        <v>369168145680.31879</v>
      </c>
      <c r="Q8" s="6">
        <v>154367339528.62274</v>
      </c>
      <c r="R8" s="6">
        <v>91021301491.720261</v>
      </c>
      <c r="S8" s="6">
        <v>118159660790.29108</v>
      </c>
    </row>
    <row r="9" spans="1:19" x14ac:dyDescent="0.3">
      <c r="A9" s="4" t="s">
        <v>8</v>
      </c>
      <c r="B9" s="6">
        <v>456110997504</v>
      </c>
      <c r="C9" s="6">
        <v>451263004672</v>
      </c>
      <c r="D9" s="6">
        <v>522053000000</v>
      </c>
      <c r="E9" s="6">
        <v>591123000000</v>
      </c>
      <c r="F9" s="6">
        <v>674368000000</v>
      </c>
      <c r="G9" s="6">
        <v>991484000000</v>
      </c>
      <c r="H9" s="6">
        <v>1475457198700</v>
      </c>
      <c r="I9" s="6">
        <v>1446634100000</v>
      </c>
      <c r="J9" s="6">
        <v>1174428000000</v>
      </c>
      <c r="K9" s="6">
        <v>966961500000</v>
      </c>
      <c r="L9" s="6">
        <v>1355925327951.5642</v>
      </c>
      <c r="M9" s="6">
        <v>1559109677857.8225</v>
      </c>
      <c r="N9" s="6">
        <v>1758720655892.4148</v>
      </c>
      <c r="O9" s="6">
        <v>2428571995791.3755</v>
      </c>
      <c r="P9" s="6">
        <v>2771216780226.5688</v>
      </c>
      <c r="Q9" s="6">
        <v>1492327413489.9861</v>
      </c>
      <c r="R9" s="6">
        <v>1972040199973.2483</v>
      </c>
      <c r="S9" s="6">
        <v>1926488295470.4451</v>
      </c>
    </row>
    <row r="10" spans="1:19" x14ac:dyDescent="0.3">
      <c r="A10" s="4" t="s">
        <v>9</v>
      </c>
      <c r="B10" s="6">
        <v>463475998720</v>
      </c>
      <c r="C10" s="6">
        <v>470518988800</v>
      </c>
      <c r="D10" s="6">
        <v>577365000000</v>
      </c>
      <c r="E10" s="6">
        <v>670997000000</v>
      </c>
      <c r="F10" s="6">
        <v>825233000000</v>
      </c>
      <c r="G10" s="6">
        <v>1093962000000</v>
      </c>
      <c r="H10" s="6">
        <v>1432190334600</v>
      </c>
      <c r="I10" s="6">
        <v>1270243200000</v>
      </c>
      <c r="J10" s="6">
        <v>1071748687427.0055</v>
      </c>
      <c r="K10" s="6">
        <v>691124490616.30823</v>
      </c>
      <c r="L10" s="6">
        <v>1079026236125.1262</v>
      </c>
      <c r="M10" s="6">
        <v>1194517105828.2859</v>
      </c>
      <c r="N10" s="6">
        <v>1221250098841.772</v>
      </c>
      <c r="O10" s="6">
        <v>1637825722040.9338</v>
      </c>
      <c r="P10" s="6">
        <v>2105505640999.9998</v>
      </c>
      <c r="Q10" s="6">
        <v>1107957423150</v>
      </c>
      <c r="R10" s="6">
        <v>1297567916506.1062</v>
      </c>
      <c r="S10" s="6">
        <v>1429706705312.9941</v>
      </c>
    </row>
    <row r="11" spans="1:19" x14ac:dyDescent="0.3">
      <c r="A11" s="4" t="s">
        <v>10</v>
      </c>
      <c r="B11" s="6">
        <v>12318999552</v>
      </c>
      <c r="C11" s="6">
        <v>14920999936</v>
      </c>
      <c r="D11" s="6">
        <v>17060000000</v>
      </c>
      <c r="E11" s="6">
        <v>24178000000</v>
      </c>
      <c r="F11" s="6">
        <v>34164000000</v>
      </c>
      <c r="G11" s="6">
        <v>79992000000</v>
      </c>
      <c r="H11" s="6">
        <v>204212797700</v>
      </c>
      <c r="I11" s="6">
        <v>110838540000</v>
      </c>
      <c r="J11" s="6">
        <v>86537760000</v>
      </c>
      <c r="K11" s="6">
        <v>68740625000</v>
      </c>
      <c r="L11" s="6">
        <v>106844888748.73865</v>
      </c>
      <c r="M11" s="6">
        <v>125241633818.1324</v>
      </c>
      <c r="N11" s="6">
        <v>145012551610.23947</v>
      </c>
      <c r="O11" s="6">
        <v>208283548343.61069</v>
      </c>
      <c r="P11" s="6">
        <v>264941770211.3613</v>
      </c>
      <c r="Q11" s="6">
        <v>90396380922.304413</v>
      </c>
      <c r="R11" s="6">
        <v>54716696288.55201</v>
      </c>
      <c r="S11" s="6">
        <v>72638864937.660004</v>
      </c>
    </row>
    <row r="12" spans="1:19" x14ac:dyDescent="0.3">
      <c r="A12" s="4" t="s">
        <v>11</v>
      </c>
      <c r="B12" s="6">
        <v>483999999</v>
      </c>
      <c r="C12" s="6">
        <v>484000000</v>
      </c>
      <c r="D12" s="6">
        <v>720000000</v>
      </c>
      <c r="E12" s="6">
        <v>1210000000</v>
      </c>
      <c r="F12" s="6">
        <v>1859000000</v>
      </c>
      <c r="G12" s="6">
        <v>3106000000</v>
      </c>
      <c r="H12" s="6">
        <v>4807000000</v>
      </c>
      <c r="I12" s="6">
        <v>4439060000</v>
      </c>
      <c r="J12" s="6">
        <v>4161149190.6081371</v>
      </c>
      <c r="K12" s="6">
        <v>6323556848.4248314</v>
      </c>
      <c r="L12" s="6">
        <v>9293236476.4792995</v>
      </c>
      <c r="M12" s="6">
        <v>17628889792.598618</v>
      </c>
      <c r="N12" s="6">
        <v>27798973327.031231</v>
      </c>
      <c r="O12" s="6">
        <v>36098788613.025742</v>
      </c>
      <c r="P12" s="6">
        <v>40555043654.19278</v>
      </c>
      <c r="Q12" s="6">
        <v>5557408786.2993288</v>
      </c>
      <c r="R12" s="6">
        <v>1128058413.1385107</v>
      </c>
      <c r="S12" s="6">
        <v>1996319591.0002615</v>
      </c>
    </row>
    <row r="13" spans="1:19" x14ac:dyDescent="0.3">
      <c r="A13" s="4" t="s">
        <v>12</v>
      </c>
      <c r="B13" s="6">
        <v>25835999998</v>
      </c>
      <c r="C13" s="6">
        <v>25835999999</v>
      </c>
      <c r="D13" s="6">
        <v>25836000000</v>
      </c>
      <c r="E13" s="6">
        <v>34738000000</v>
      </c>
      <c r="F13" s="6">
        <v>49371000000</v>
      </c>
      <c r="G13" s="6">
        <v>66596000000</v>
      </c>
      <c r="H13" s="6">
        <v>68773000000</v>
      </c>
      <c r="I13" s="6">
        <v>81882400000</v>
      </c>
      <c r="J13" s="6">
        <v>75298234287.240677</v>
      </c>
      <c r="K13" s="6">
        <v>60384271532.16497</v>
      </c>
      <c r="L13" s="6">
        <v>85070383451.059555</v>
      </c>
      <c r="M13" s="6">
        <v>114085428843.2785</v>
      </c>
      <c r="N13" s="6">
        <v>114134252866.39023</v>
      </c>
      <c r="O13" s="6">
        <v>163357747593.30078</v>
      </c>
      <c r="P13" s="6">
        <v>144026157000</v>
      </c>
      <c r="Q13" s="6">
        <v>49401126710.824394</v>
      </c>
      <c r="R13" s="6">
        <v>29882595139.054962</v>
      </c>
      <c r="S13" s="6">
        <v>33721954397.963921</v>
      </c>
    </row>
    <row r="14" spans="1:19" x14ac:dyDescent="0.3">
      <c r="A14" s="4" t="s">
        <v>13</v>
      </c>
      <c r="B14" s="6">
        <v>136152997888</v>
      </c>
      <c r="C14" s="6">
        <v>180135002112</v>
      </c>
      <c r="D14" s="6">
        <v>209522000000</v>
      </c>
      <c r="E14" s="6">
        <v>258160000000</v>
      </c>
      <c r="F14" s="6">
        <v>344665000000</v>
      </c>
      <c r="G14" s="6">
        <v>569731000000</v>
      </c>
      <c r="H14" s="6">
        <v>728273329600</v>
      </c>
      <c r="I14" s="6">
        <v>768363500000</v>
      </c>
      <c r="J14" s="6">
        <v>527396491852.9071</v>
      </c>
      <c r="K14" s="6">
        <v>480629656837.02386</v>
      </c>
      <c r="L14" s="6">
        <v>614841069626.63977</v>
      </c>
      <c r="M14" s="6">
        <v>789562620173.13159</v>
      </c>
      <c r="N14" s="6">
        <v>798167021786.849</v>
      </c>
      <c r="O14" s="6">
        <v>1026639570471.3623</v>
      </c>
      <c r="P14" s="6">
        <v>1072691504605.9401</v>
      </c>
      <c r="Q14" s="6">
        <v>520855088989.60321</v>
      </c>
      <c r="R14" s="6">
        <v>317316553441.89844</v>
      </c>
      <c r="S14" s="6">
        <v>318140148672.26636</v>
      </c>
    </row>
    <row r="15" spans="1:19" x14ac:dyDescent="0.3">
      <c r="A15" s="4" t="s">
        <v>14</v>
      </c>
      <c r="B15" s="6">
        <v>2999755997184</v>
      </c>
      <c r="C15" s="6">
        <v>3719914061824</v>
      </c>
      <c r="D15" s="6">
        <v>3667292000000</v>
      </c>
      <c r="E15" s="6">
        <v>3088850000000</v>
      </c>
      <c r="F15" s="6">
        <v>2216699000000</v>
      </c>
      <c r="G15" s="6">
        <v>2495757000000</v>
      </c>
      <c r="H15" s="6">
        <v>4546936554100</v>
      </c>
      <c r="I15" s="6">
        <v>3157221800000</v>
      </c>
      <c r="J15" s="6">
        <v>2251814000000</v>
      </c>
      <c r="K15" s="6">
        <v>2126075000000</v>
      </c>
      <c r="L15" s="6">
        <v>3040664775590.1836</v>
      </c>
      <c r="M15" s="6">
        <v>3678261910803.1621</v>
      </c>
      <c r="N15" s="6">
        <v>4736512818774.8877</v>
      </c>
      <c r="O15" s="6">
        <v>4726268901850.5313</v>
      </c>
      <c r="P15" s="6">
        <v>4453474908956.7383</v>
      </c>
      <c r="Q15" s="6">
        <v>3220485162543.0225</v>
      </c>
      <c r="R15" s="6">
        <v>3377892255200.3657</v>
      </c>
      <c r="S15" s="6">
        <v>4099591000000</v>
      </c>
    </row>
    <row r="16" spans="1:19" x14ac:dyDescent="0.3">
      <c r="A16" s="4" t="s">
        <v>15</v>
      </c>
      <c r="B16" s="6">
        <v>200999993344</v>
      </c>
      <c r="C16" s="6">
        <v>130000003072</v>
      </c>
      <c r="D16" s="6">
        <v>90694000000</v>
      </c>
      <c r="E16" s="6">
        <v>106540000000</v>
      </c>
      <c r="F16" s="6">
        <v>156595000000</v>
      </c>
      <c r="G16" s="6">
        <v>91746000000</v>
      </c>
      <c r="H16" s="6">
        <v>154043843900</v>
      </c>
      <c r="I16" s="6">
        <v>125203850000</v>
      </c>
      <c r="J16" s="6">
        <v>126258430000</v>
      </c>
      <c r="K16" s="6">
        <v>103136570000</v>
      </c>
      <c r="L16" s="6">
        <v>122531870000</v>
      </c>
      <c r="M16" s="6">
        <v>171940260000</v>
      </c>
      <c r="N16" s="6">
        <v>239127950000</v>
      </c>
      <c r="O16" s="6">
        <v>348345130000</v>
      </c>
      <c r="P16" s="6">
        <v>397724640000</v>
      </c>
      <c r="Q16" s="6">
        <v>232581145972.48801</v>
      </c>
      <c r="R16" s="6">
        <v>340564590895.81561</v>
      </c>
      <c r="S16" s="6">
        <v>454345259110.9267</v>
      </c>
    </row>
    <row r="17" spans="1:19" x14ac:dyDescent="0.3">
      <c r="A17" s="4" t="s">
        <v>16</v>
      </c>
      <c r="B17" s="6">
        <v>181875998720</v>
      </c>
      <c r="C17" s="6">
        <v>283251015680</v>
      </c>
      <c r="D17" s="6">
        <v>356481000000</v>
      </c>
      <c r="E17" s="6">
        <v>378721000000</v>
      </c>
      <c r="F17" s="6">
        <v>468736000000</v>
      </c>
      <c r="G17" s="6">
        <v>603182000000</v>
      </c>
      <c r="H17" s="6">
        <v>695209000000</v>
      </c>
      <c r="I17" s="6">
        <v>640456300000</v>
      </c>
      <c r="J17" s="6">
        <v>458221000000</v>
      </c>
      <c r="K17" s="6">
        <v>401464600000</v>
      </c>
      <c r="L17" s="6">
        <v>488647361251.26141</v>
      </c>
      <c r="M17" s="6">
        <v>538663694440.66882</v>
      </c>
      <c r="N17" s="6">
        <v>592905544414.29761</v>
      </c>
      <c r="O17" s="6">
        <v>779645438538.42822</v>
      </c>
      <c r="P17" s="6">
        <v>956468740421.11438</v>
      </c>
      <c r="Q17" s="6">
        <v>387906089743.67487</v>
      </c>
      <c r="R17" s="6">
        <v>542532520238.93396</v>
      </c>
      <c r="S17" s="6">
        <v>661203716195.6842</v>
      </c>
    </row>
    <row r="18" spans="1:19" x14ac:dyDescent="0.3">
      <c r="A18" s="4" t="s">
        <v>17</v>
      </c>
      <c r="B18" s="6">
        <v>25596999680</v>
      </c>
      <c r="C18" s="6">
        <v>27217000448</v>
      </c>
      <c r="D18" s="6">
        <v>31950000000</v>
      </c>
      <c r="E18" s="6">
        <v>38641000000</v>
      </c>
      <c r="F18" s="6">
        <v>30511200000</v>
      </c>
      <c r="G18" s="6">
        <v>25027898500</v>
      </c>
      <c r="H18" s="6">
        <v>28106389630</v>
      </c>
      <c r="I18" s="6">
        <v>18865524600</v>
      </c>
      <c r="J18" s="6">
        <v>17778888194.878201</v>
      </c>
      <c r="K18" s="6">
        <v>21745043678.401424</v>
      </c>
      <c r="L18" s="6">
        <v>33051871306.631649</v>
      </c>
      <c r="M18" s="6">
        <v>43731332611.050919</v>
      </c>
      <c r="N18" s="6">
        <v>43409099577.714211</v>
      </c>
      <c r="O18" s="6">
        <v>44939528980.39769</v>
      </c>
      <c r="P18" s="6">
        <v>47454010000</v>
      </c>
      <c r="Q18" s="6">
        <v>24165565308</v>
      </c>
      <c r="R18" s="6">
        <v>67061169518.31237</v>
      </c>
      <c r="S18" s="6">
        <v>36295165398.239998</v>
      </c>
    </row>
    <row r="19" spans="1:19" x14ac:dyDescent="0.3">
      <c r="A19" s="4" t="s">
        <v>18</v>
      </c>
      <c r="B19" s="6">
        <v>27380000768</v>
      </c>
      <c r="C19" s="6">
        <v>36468998144</v>
      </c>
      <c r="D19" s="6">
        <v>44587000000</v>
      </c>
      <c r="E19" s="6">
        <v>57423000000</v>
      </c>
      <c r="F19" s="6">
        <v>66503000000</v>
      </c>
      <c r="G19" s="6">
        <v>46944000000</v>
      </c>
      <c r="H19" s="6">
        <v>63696000000</v>
      </c>
      <c r="I19" s="6">
        <v>65034350000</v>
      </c>
      <c r="J19" s="6">
        <v>69054000000</v>
      </c>
      <c r="K19" s="6">
        <v>67300000000</v>
      </c>
      <c r="L19" s="6">
        <v>94678931750.741837</v>
      </c>
      <c r="M19" s="6">
        <v>141429856357.42236</v>
      </c>
      <c r="N19" s="6">
        <v>190952402049.82794</v>
      </c>
      <c r="O19" s="6">
        <v>281081415264.03705</v>
      </c>
      <c r="P19" s="6">
        <v>357419915000</v>
      </c>
      <c r="Q19" s="6">
        <v>125919582291.73816</v>
      </c>
      <c r="R19" s="6">
        <v>227233231200.66473</v>
      </c>
      <c r="S19" s="6">
        <v>250921559483.87097</v>
      </c>
    </row>
    <row r="20" spans="1:19" x14ac:dyDescent="0.3">
      <c r="A20" s="4" t="s">
        <v>19</v>
      </c>
      <c r="B20" s="6">
        <v>12417000448</v>
      </c>
      <c r="C20" s="6">
        <v>16248999936</v>
      </c>
      <c r="D20" s="6">
        <v>18362000000</v>
      </c>
      <c r="E20" s="6">
        <v>24660000000</v>
      </c>
      <c r="F20" s="6">
        <v>38954000000</v>
      </c>
      <c r="G20" s="6">
        <v>62954000000</v>
      </c>
      <c r="H20" s="6">
        <v>66488103000</v>
      </c>
      <c r="I20" s="6">
        <v>60680500000</v>
      </c>
      <c r="J20" s="6">
        <v>46338000000</v>
      </c>
      <c r="K20" s="6">
        <v>42845830000</v>
      </c>
      <c r="L20" s="6">
        <v>58284737260.343094</v>
      </c>
      <c r="M20" s="6">
        <v>70241742558.10791</v>
      </c>
      <c r="N20" s="6">
        <v>66981305001.769493</v>
      </c>
      <c r="O20" s="6">
        <v>104201059079.25624</v>
      </c>
      <c r="P20" s="6">
        <v>132257872999.99998</v>
      </c>
      <c r="Q20" s="6">
        <v>68713401780.897972</v>
      </c>
      <c r="R20" s="6">
        <v>98649863771.794479</v>
      </c>
      <c r="S20" s="6">
        <v>81995991552.588547</v>
      </c>
    </row>
    <row r="21" spans="1:19" x14ac:dyDescent="0.3">
      <c r="A21" s="4" t="s">
        <v>20</v>
      </c>
      <c r="B21" s="6">
        <v>119264002048</v>
      </c>
      <c r="C21" s="6">
        <v>154857996288</v>
      </c>
      <c r="D21" s="6">
        <v>197788000000</v>
      </c>
      <c r="E21" s="6">
        <v>242779000000</v>
      </c>
      <c r="F21" s="6">
        <v>290383000000</v>
      </c>
      <c r="G21" s="6">
        <v>402180000000</v>
      </c>
      <c r="H21" s="6">
        <v>431668200000</v>
      </c>
      <c r="I21" s="6">
        <v>504219300000</v>
      </c>
      <c r="J21" s="6">
        <v>468203000000</v>
      </c>
      <c r="K21" s="6">
        <v>464998425857.90747</v>
      </c>
      <c r="L21" s="6">
        <v>726243365287.58838</v>
      </c>
      <c r="M21" s="6">
        <v>940672882968.60132</v>
      </c>
      <c r="N21" s="6">
        <v>960023632224.97339</v>
      </c>
      <c r="O21" s="6">
        <v>1323089753395.7537</v>
      </c>
      <c r="P21" s="6">
        <v>1800097149000</v>
      </c>
      <c r="Q21" s="6">
        <v>946113123221.99988</v>
      </c>
      <c r="R21" s="6">
        <v>1297226915351.5066</v>
      </c>
      <c r="S21" s="6">
        <v>1171614868753.0002</v>
      </c>
    </row>
    <row r="22" spans="1:19" x14ac:dyDescent="0.3">
      <c r="A22" s="4" t="s">
        <v>21</v>
      </c>
      <c r="B22" s="6">
        <v>107376001024</v>
      </c>
      <c r="C22" s="6">
        <v>130939002880</v>
      </c>
      <c r="D22" s="6">
        <v>178049000000</v>
      </c>
      <c r="E22" s="6">
        <v>247217000000</v>
      </c>
      <c r="F22" s="6">
        <v>272730000000</v>
      </c>
      <c r="G22" s="6">
        <v>278707000000</v>
      </c>
      <c r="H22" s="6">
        <v>373277650000</v>
      </c>
      <c r="I22" s="6">
        <v>328339100000</v>
      </c>
      <c r="J22" s="6">
        <v>236514358847.25018</v>
      </c>
      <c r="K22" s="6">
        <v>179335320716.60565</v>
      </c>
      <c r="L22" s="6">
        <v>289877118396.7312</v>
      </c>
      <c r="M22" s="6">
        <v>376781095402.07623</v>
      </c>
      <c r="N22" s="6">
        <v>403947974453.05078</v>
      </c>
      <c r="O22" s="6">
        <v>573250309548.65417</v>
      </c>
      <c r="P22" s="6">
        <v>612496954661.99719</v>
      </c>
      <c r="Q22" s="6">
        <v>252542315012.10806</v>
      </c>
      <c r="R22" s="6">
        <v>432296228760.2149</v>
      </c>
      <c r="S22" s="6">
        <v>581173906899.60352</v>
      </c>
    </row>
    <row r="23" spans="1:19" x14ac:dyDescent="0.3">
      <c r="A23" s="4" t="s">
        <v>22</v>
      </c>
      <c r="B23" s="6">
        <v>271712993280</v>
      </c>
      <c r="C23" s="6">
        <v>284092006400</v>
      </c>
      <c r="D23" s="6">
        <v>433621000000</v>
      </c>
      <c r="E23" s="6">
        <v>402104000000</v>
      </c>
      <c r="F23" s="6">
        <v>575338000000</v>
      </c>
      <c r="G23" s="6">
        <v>689199000000</v>
      </c>
      <c r="H23" s="6">
        <v>693126757000</v>
      </c>
      <c r="I23" s="6">
        <v>792316000000</v>
      </c>
      <c r="J23" s="6">
        <v>625815485153.2854</v>
      </c>
      <c r="K23" s="6">
        <v>552549497360.23718</v>
      </c>
      <c r="L23" s="6">
        <v>726949345084.08801</v>
      </c>
      <c r="M23" s="6">
        <v>825849212910.0343</v>
      </c>
      <c r="N23" s="6">
        <v>938623538840.66772</v>
      </c>
      <c r="O23" s="6">
        <v>1212508314901.2864</v>
      </c>
      <c r="P23" s="6">
        <v>1274515506204.8843</v>
      </c>
      <c r="Q23" s="6">
        <v>862662643438.71851</v>
      </c>
      <c r="R23" s="6">
        <v>1070693526385.3213</v>
      </c>
      <c r="S23" s="6">
        <v>1229356532560.8838</v>
      </c>
    </row>
    <row r="24" spans="1:19" x14ac:dyDescent="0.3">
      <c r="A24" s="4" t="s">
        <v>23</v>
      </c>
      <c r="B24" s="6">
        <v>37499998208</v>
      </c>
      <c r="C24" s="6">
        <v>21600000000</v>
      </c>
      <c r="D24" s="6">
        <v>20772000000</v>
      </c>
      <c r="E24" s="6">
        <v>30020000000</v>
      </c>
      <c r="F24" s="6">
        <v>61090000000</v>
      </c>
      <c r="G24" s="6">
        <v>33646000000</v>
      </c>
      <c r="H24" s="6">
        <v>112715842300</v>
      </c>
      <c r="I24" s="6">
        <v>69658920000</v>
      </c>
      <c r="J24" s="6">
        <v>47149860000</v>
      </c>
      <c r="K24" s="6">
        <v>33957980000.000004</v>
      </c>
      <c r="L24" s="6">
        <v>68379200000</v>
      </c>
      <c r="M24" s="6">
        <v>98298500000</v>
      </c>
      <c r="N24" s="6">
        <v>161537430000</v>
      </c>
      <c r="O24" s="6">
        <v>162398640000</v>
      </c>
      <c r="P24" s="6">
        <v>286572050000</v>
      </c>
      <c r="Q24" s="6">
        <v>117929860382.24812</v>
      </c>
      <c r="R24" s="6">
        <v>225735236670.58319</v>
      </c>
      <c r="S24" s="6">
        <v>306662330596.70502</v>
      </c>
    </row>
    <row r="25" spans="1:19" x14ac:dyDescent="0.3">
      <c r="A25" s="4" t="s">
        <v>24</v>
      </c>
      <c r="B25" s="6">
        <v>1151646040064</v>
      </c>
      <c r="C25" s="6">
        <v>1210245054464</v>
      </c>
      <c r="D25" s="6">
        <v>1407737000000</v>
      </c>
      <c r="E25" s="6">
        <v>1740246000000</v>
      </c>
      <c r="F25" s="6">
        <v>1996225000000</v>
      </c>
      <c r="G25" s="6">
        <v>2374273000000</v>
      </c>
      <c r="H25" s="6">
        <v>2933279600000</v>
      </c>
      <c r="I25" s="6">
        <v>2576991900000</v>
      </c>
      <c r="J25" s="6">
        <v>2164716198515.5</v>
      </c>
      <c r="K25" s="6">
        <v>1864262218287.186</v>
      </c>
      <c r="L25" s="6">
        <v>2460063963480.1289</v>
      </c>
      <c r="M25" s="6">
        <v>2815928019427.9126</v>
      </c>
      <c r="N25" s="6">
        <v>3058182414470.3862</v>
      </c>
      <c r="O25" s="6">
        <v>3794310288455.6655</v>
      </c>
      <c r="P25" s="6">
        <v>3858505426695.8594</v>
      </c>
      <c r="Q25" s="6">
        <v>1851953510992.5</v>
      </c>
      <c r="R25" s="6">
        <v>2796444322693</v>
      </c>
      <c r="S25" s="6">
        <v>3107037940784.9502</v>
      </c>
    </row>
    <row r="26" spans="1:19" x14ac:dyDescent="0.3">
      <c r="A26" s="4" t="s">
        <v>25</v>
      </c>
      <c r="B26" s="6">
        <v>5136198926336</v>
      </c>
      <c r="C26" s="6">
        <v>5067015979008</v>
      </c>
      <c r="D26" s="6">
        <v>6857622000000</v>
      </c>
      <c r="E26" s="6">
        <v>8484433000000</v>
      </c>
      <c r="F26" s="6">
        <v>11308779000000</v>
      </c>
      <c r="G26" s="6">
        <v>13451352000000</v>
      </c>
      <c r="H26" s="6">
        <v>16635114000000</v>
      </c>
      <c r="I26" s="6">
        <v>15104037000000</v>
      </c>
      <c r="J26" s="6">
        <v>13854616194000</v>
      </c>
      <c r="K26" s="6">
        <v>11098101530000</v>
      </c>
      <c r="L26" s="6">
        <v>14266265700000</v>
      </c>
      <c r="M26" s="6">
        <v>16323726300000</v>
      </c>
      <c r="N26" s="6">
        <v>16970864548060</v>
      </c>
      <c r="O26" s="6">
        <v>19425854794360</v>
      </c>
      <c r="P26" s="6">
        <v>19947283820000</v>
      </c>
      <c r="Q26" s="6">
        <v>11737645610000</v>
      </c>
      <c r="R26" s="6">
        <v>15077285740000</v>
      </c>
      <c r="S26" s="6">
        <v>17138978000000</v>
      </c>
    </row>
    <row r="27" spans="1:19" x14ac:dyDescent="0.3">
      <c r="A27" s="1"/>
    </row>
    <row r="28" spans="1:19" x14ac:dyDescent="0.3">
      <c r="A28" s="1"/>
    </row>
    <row r="29" spans="1:19" x14ac:dyDescent="0.3">
      <c r="A29" s="1"/>
      <c r="B29">
        <f>B3/1000000</f>
        <v>204866.02752</v>
      </c>
    </row>
    <row r="30" spans="1:19" x14ac:dyDescent="0.3">
      <c r="A30" s="1"/>
    </row>
    <row r="31" spans="1:19" x14ac:dyDescent="0.3">
      <c r="A31" s="1"/>
    </row>
    <row r="32" spans="1:19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 Home Bias</vt:lpstr>
      <vt:lpstr>Portfolio equity assets </vt:lpstr>
      <vt:lpstr>Portfolio equity liabilities 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Ismail</dc:creator>
  <cp:lastModifiedBy>omar Ismail</cp:lastModifiedBy>
  <dcterms:created xsi:type="dcterms:W3CDTF">2024-07-28T09:58:18Z</dcterms:created>
  <dcterms:modified xsi:type="dcterms:W3CDTF">2024-07-31T14:32:05Z</dcterms:modified>
</cp:coreProperties>
</file>